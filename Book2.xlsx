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\Documents\Skills and Misc notes\Projects\Airline Project\"/>
    </mc:Choice>
  </mc:AlternateContent>
  <xr:revisionPtr revIDLastSave="0" documentId="13_ncr:1_{83184F67-450A-4978-A364-10ACDE77EE59}" xr6:coauthVersionLast="47" xr6:coauthVersionMax="47" xr10:uidLastSave="{00000000-0000-0000-0000-000000000000}"/>
  <bookViews>
    <workbookView xWindow="-110" yWindow="-110" windowWidth="19420" windowHeight="11500" xr2:uid="{41AC875A-01FF-4B1F-9F85-5CFE19744395}"/>
  </bookViews>
  <sheets>
    <sheet name="Data" sheetId="1" r:id="rId1"/>
    <sheet name="Comparison" sheetId="6" r:id="rId2"/>
    <sheet name="Assumptions" sheetId="2" r:id="rId3"/>
    <sheet name="Scenario Analysis" sheetId="3" r:id="rId4"/>
    <sheet name="Scenario Summary" sheetId="4" r:id="rId5"/>
    <sheet name="Sensitivity analysis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6" l="1"/>
  <c r="I21" i="6"/>
  <c r="I20" i="6"/>
  <c r="I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18" i="6"/>
  <c r="C6" i="6"/>
  <c r="C4" i="6"/>
  <c r="B7" i="6"/>
  <c r="C7" i="6" s="1" a="1"/>
  <c r="C7" i="6" s="1"/>
  <c r="B13" i="6" s="1"/>
  <c r="B6" i="6"/>
  <c r="B5" i="6"/>
  <c r="C5" i="6" s="1"/>
  <c r="B4" i="6"/>
  <c r="B2" i="6"/>
  <c r="C2" i="6" s="1"/>
  <c r="B3" i="6" a="1"/>
  <c r="B3" i="6" s="1"/>
  <c r="C3" i="6" s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3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" i="1"/>
  <c r="AU15" i="1"/>
  <c r="AU16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" i="1"/>
  <c r="D2" i="3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3" i="1"/>
  <c r="Z4" i="1"/>
  <c r="Z5" i="1"/>
  <c r="Z6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  <c r="B6" i="4"/>
  <c r="D6" i="4" s="1"/>
  <c r="J3" i="3"/>
  <c r="J8" i="3"/>
  <c r="J12" i="3"/>
  <c r="J15" i="3"/>
  <c r="J20" i="3"/>
  <c r="I3" i="3"/>
  <c r="I4" i="3"/>
  <c r="I8" i="3"/>
  <c r="I9" i="3"/>
  <c r="I10" i="3"/>
  <c r="I11" i="3"/>
  <c r="I12" i="3"/>
  <c r="I15" i="3"/>
  <c r="I16" i="3"/>
  <c r="I21" i="3"/>
  <c r="I2" i="3"/>
  <c r="H3" i="3"/>
  <c r="H4" i="3"/>
  <c r="H8" i="3"/>
  <c r="H9" i="3"/>
  <c r="H10" i="3"/>
  <c r="H11" i="3"/>
  <c r="H15" i="3"/>
  <c r="H16" i="3"/>
  <c r="H21" i="3"/>
  <c r="H2" i="3"/>
  <c r="G6" i="3"/>
  <c r="G7" i="3"/>
  <c r="G15" i="3"/>
  <c r="G16" i="3"/>
  <c r="G17" i="3"/>
  <c r="G18" i="3"/>
  <c r="G19" i="3"/>
  <c r="F17" i="3"/>
  <c r="F18" i="3"/>
  <c r="F19" i="3"/>
  <c r="F2" i="3"/>
  <c r="D3" i="3"/>
  <c r="Q3" i="3" s="1"/>
  <c r="D4" i="3"/>
  <c r="P4" i="3" s="1"/>
  <c r="C15" i="3"/>
  <c r="O15" i="3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" i="3"/>
  <c r="Q19" i="1"/>
  <c r="R19" i="1" s="1"/>
  <c r="E19" i="3" s="1"/>
  <c r="Q18" i="1"/>
  <c r="R18" i="1" s="1"/>
  <c r="E18" i="3" s="1"/>
  <c r="Q7" i="1"/>
  <c r="R7" i="1" s="1"/>
  <c r="E7" i="3" s="1"/>
  <c r="Q6" i="1"/>
  <c r="R6" i="1" s="1"/>
  <c r="E6" i="3" s="1"/>
  <c r="Q5" i="1"/>
  <c r="R5" i="1" s="1"/>
  <c r="Q4" i="1"/>
  <c r="R4" i="1" s="1"/>
  <c r="Q3" i="1"/>
  <c r="R3" i="1" s="1"/>
  <c r="Q2" i="1"/>
  <c r="R2" i="1" s="1"/>
  <c r="P21" i="1"/>
  <c r="G21" i="3" s="1"/>
  <c r="P20" i="1"/>
  <c r="P19" i="1"/>
  <c r="P18" i="1"/>
  <c r="D18" i="3" s="1"/>
  <c r="P18" i="3" s="1"/>
  <c r="P17" i="1"/>
  <c r="P16" i="1"/>
  <c r="F16" i="3" s="1"/>
  <c r="P15" i="1"/>
  <c r="F15" i="3" s="1"/>
  <c r="P14" i="1"/>
  <c r="G14" i="3" s="1"/>
  <c r="P13" i="1"/>
  <c r="F13" i="3" s="1"/>
  <c r="P12" i="1"/>
  <c r="C12" i="3" s="1"/>
  <c r="O12" i="3" s="1"/>
  <c r="P11" i="1"/>
  <c r="Q11" i="1" s="1"/>
  <c r="R11" i="1" s="1"/>
  <c r="P10" i="1"/>
  <c r="P9" i="1"/>
  <c r="G9" i="3" s="1"/>
  <c r="P8" i="1"/>
  <c r="Q8" i="1" s="1"/>
  <c r="R8" i="1" s="1"/>
  <c r="E8" i="3" s="1"/>
  <c r="P7" i="1"/>
  <c r="P6" i="1"/>
  <c r="D6" i="3" s="1"/>
  <c r="P6" i="3" s="1"/>
  <c r="P5" i="1"/>
  <c r="P4" i="1"/>
  <c r="F4" i="3" s="1"/>
  <c r="P3" i="1"/>
  <c r="F3" i="3" s="1"/>
  <c r="P2" i="1"/>
  <c r="O21" i="1"/>
  <c r="O12" i="1"/>
  <c r="O11" i="1"/>
  <c r="O9" i="1"/>
  <c r="O6" i="1"/>
  <c r="N17" i="1"/>
  <c r="H17" i="3" s="1"/>
  <c r="N20" i="1"/>
  <c r="H20" i="3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N3" i="1" s="1"/>
  <c r="L4" i="1"/>
  <c r="N4" i="1" s="1"/>
  <c r="J4" i="3" s="1"/>
  <c r="L5" i="1"/>
  <c r="N5" i="1" s="1"/>
  <c r="H5" i="3" s="1"/>
  <c r="L6" i="1"/>
  <c r="N6" i="1" s="1"/>
  <c r="H6" i="3" s="1"/>
  <c r="L7" i="1"/>
  <c r="N7" i="1" s="1"/>
  <c r="H7" i="3" s="1"/>
  <c r="L8" i="1"/>
  <c r="N8" i="1" s="1"/>
  <c r="L9" i="1"/>
  <c r="N9" i="1" s="1"/>
  <c r="J9" i="3" s="1"/>
  <c r="L10" i="1"/>
  <c r="N10" i="1" s="1"/>
  <c r="J10" i="3" s="1"/>
  <c r="L11" i="1"/>
  <c r="N11" i="1" s="1"/>
  <c r="J11" i="3" s="1"/>
  <c r="L12" i="1"/>
  <c r="N12" i="1" s="1"/>
  <c r="H12" i="3" s="1"/>
  <c r="L13" i="1"/>
  <c r="N13" i="1" s="1"/>
  <c r="I13" i="3" s="1"/>
  <c r="L14" i="1"/>
  <c r="N14" i="1" s="1"/>
  <c r="I14" i="3" s="1"/>
  <c r="L15" i="1"/>
  <c r="N15" i="1" s="1"/>
  <c r="L16" i="1"/>
  <c r="N16" i="1" s="1"/>
  <c r="C16" i="3" s="1"/>
  <c r="O16" i="3" s="1"/>
  <c r="L17" i="1"/>
  <c r="L18" i="1"/>
  <c r="N18" i="1" s="1"/>
  <c r="H18" i="3" s="1"/>
  <c r="L19" i="1"/>
  <c r="N19" i="1" s="1"/>
  <c r="H19" i="3" s="1"/>
  <c r="L20" i="1"/>
  <c r="L21" i="1"/>
  <c r="N21" i="1" s="1"/>
  <c r="J21" i="3" s="1"/>
  <c r="L2" i="1"/>
  <c r="N2" i="1" s="1"/>
  <c r="J2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7" i="1"/>
  <c r="O7" i="1" s="1"/>
  <c r="I8" i="1"/>
  <c r="O8" i="1" s="1"/>
  <c r="I9" i="1"/>
  <c r="I10" i="1"/>
  <c r="O10" i="1" s="1"/>
  <c r="I11" i="1"/>
  <c r="I12" i="1"/>
  <c r="I13" i="1"/>
  <c r="O13" i="1" s="1"/>
  <c r="I14" i="1"/>
  <c r="O14" i="1" s="1"/>
  <c r="I15" i="1"/>
  <c r="O15" i="1" s="1"/>
  <c r="I16" i="1"/>
  <c r="O16" i="1" s="1"/>
  <c r="I17" i="1"/>
  <c r="O17" i="1" s="1"/>
  <c r="I18" i="1"/>
  <c r="O18" i="1" s="1"/>
  <c r="I19" i="1"/>
  <c r="O19" i="1" s="1"/>
  <c r="I20" i="1"/>
  <c r="O20" i="1" s="1"/>
  <c r="I21" i="1"/>
  <c r="I3" i="1"/>
  <c r="O3" i="1" s="1"/>
  <c r="I4" i="1"/>
  <c r="O4" i="1" s="1"/>
  <c r="I5" i="1"/>
  <c r="O5" i="1" s="1"/>
  <c r="I6" i="1"/>
  <c r="I2" i="1"/>
  <c r="O2" i="1" s="1"/>
  <c r="D4" i="6" l="1"/>
  <c r="B12" i="6"/>
  <c r="D6" i="6"/>
  <c r="D3" i="6"/>
  <c r="D5" i="6"/>
  <c r="D7" i="6"/>
  <c r="B14" i="6" s="1"/>
  <c r="D2" i="6"/>
  <c r="AU10" i="1"/>
  <c r="AU21" i="1"/>
  <c r="AU7" i="1"/>
  <c r="AU2" i="1"/>
  <c r="AU14" i="1"/>
  <c r="AU18" i="1"/>
  <c r="AU12" i="1"/>
  <c r="AU13" i="1"/>
  <c r="AU9" i="1"/>
  <c r="AU19" i="1"/>
  <c r="AU8" i="1"/>
  <c r="AU6" i="1"/>
  <c r="AU5" i="1"/>
  <c r="AU4" i="1"/>
  <c r="AU3" i="1"/>
  <c r="C6" i="4"/>
  <c r="D7" i="3"/>
  <c r="P7" i="3" s="1"/>
  <c r="D19" i="3"/>
  <c r="P19" i="3" s="1"/>
  <c r="C7" i="3"/>
  <c r="O7" i="3" s="1"/>
  <c r="J19" i="3"/>
  <c r="J7" i="3"/>
  <c r="D20" i="3"/>
  <c r="P20" i="3" s="1"/>
  <c r="C6" i="3"/>
  <c r="O6" i="3" s="1"/>
  <c r="H14" i="3"/>
  <c r="J18" i="3"/>
  <c r="J6" i="3"/>
  <c r="C5" i="3"/>
  <c r="O5" i="3" s="1"/>
  <c r="H13" i="3"/>
  <c r="J17" i="3"/>
  <c r="J5" i="3"/>
  <c r="D10" i="3"/>
  <c r="P10" i="3" s="1"/>
  <c r="D13" i="3"/>
  <c r="P13" i="3" s="1"/>
  <c r="I20" i="3"/>
  <c r="J16" i="3"/>
  <c r="I19" i="3"/>
  <c r="I7" i="3"/>
  <c r="I18" i="3"/>
  <c r="B2" i="4"/>
  <c r="B8" i="4" s="1"/>
  <c r="I17" i="3"/>
  <c r="I5" i="3"/>
  <c r="J13" i="3"/>
  <c r="C2" i="4"/>
  <c r="C8" i="4" s="1"/>
  <c r="I6" i="3"/>
  <c r="J14" i="3"/>
  <c r="D2" i="4"/>
  <c r="D8" i="4" s="1"/>
  <c r="C18" i="3"/>
  <c r="O18" i="3" s="1"/>
  <c r="C17" i="3"/>
  <c r="O17" i="3" s="1"/>
  <c r="D5" i="3"/>
  <c r="P5" i="3" s="1"/>
  <c r="D17" i="3"/>
  <c r="M17" i="3" s="1"/>
  <c r="F12" i="3"/>
  <c r="G5" i="3"/>
  <c r="Q14" i="1"/>
  <c r="R14" i="1" s="1"/>
  <c r="S14" i="1" s="1"/>
  <c r="T14" i="1" s="1"/>
  <c r="C3" i="3"/>
  <c r="O3" i="3" s="1"/>
  <c r="F11" i="3"/>
  <c r="G4" i="3"/>
  <c r="C6" i="5" a="1"/>
  <c r="C6" i="5" s="1"/>
  <c r="Q12" i="1"/>
  <c r="R12" i="1" s="1"/>
  <c r="Q15" i="1"/>
  <c r="R15" i="1" s="1"/>
  <c r="E15" i="3" s="1"/>
  <c r="D16" i="3"/>
  <c r="P16" i="3" s="1"/>
  <c r="F7" i="3"/>
  <c r="G3" i="3"/>
  <c r="C4" i="3"/>
  <c r="O4" i="3" s="1"/>
  <c r="Q16" i="1"/>
  <c r="R16" i="1" s="1"/>
  <c r="S16" i="1" s="1"/>
  <c r="T16" i="1" s="1"/>
  <c r="D15" i="3"/>
  <c r="P15" i="3" s="1"/>
  <c r="F6" i="3"/>
  <c r="Q13" i="1"/>
  <c r="R13" i="1" s="1"/>
  <c r="E13" i="3" s="1"/>
  <c r="Q17" i="1"/>
  <c r="R17" i="1" s="1"/>
  <c r="S17" i="1" s="1"/>
  <c r="C19" i="3"/>
  <c r="O19" i="3" s="1"/>
  <c r="D14" i="3"/>
  <c r="P14" i="3" s="1"/>
  <c r="F5" i="3"/>
  <c r="C20" i="3"/>
  <c r="O20" i="3" s="1"/>
  <c r="C8" i="3"/>
  <c r="O8" i="3" s="1"/>
  <c r="G20" i="3"/>
  <c r="G8" i="3"/>
  <c r="E4" i="5" a="1"/>
  <c r="E4" i="5" s="1"/>
  <c r="D4" i="5" a="1"/>
  <c r="D4" i="5" s="1"/>
  <c r="D5" i="5" a="1"/>
  <c r="D5" i="5" s="1"/>
  <c r="D12" i="3"/>
  <c r="F20" i="3"/>
  <c r="F8" i="3"/>
  <c r="D7" i="5" a="1"/>
  <c r="D7" i="5" s="1"/>
  <c r="C7" i="5" a="1"/>
  <c r="C7" i="5" s="1"/>
  <c r="F6" i="5" a="1"/>
  <c r="F6" i="5" s="1"/>
  <c r="Q9" i="1"/>
  <c r="R9" i="1" s="1"/>
  <c r="E9" i="3" s="1"/>
  <c r="Q21" i="1"/>
  <c r="R21" i="1" s="1"/>
  <c r="E21" i="3" s="1"/>
  <c r="C11" i="3"/>
  <c r="O11" i="3" s="1"/>
  <c r="G11" i="3"/>
  <c r="C3" i="4"/>
  <c r="C7" i="4" s="1"/>
  <c r="E6" i="5" a="1"/>
  <c r="E6" i="5" s="1"/>
  <c r="B6" i="5" a="1"/>
  <c r="B6" i="5" s="1"/>
  <c r="F5" i="5" a="1"/>
  <c r="F5" i="5" s="1"/>
  <c r="F10" i="3"/>
  <c r="F7" i="5" a="1"/>
  <c r="F7" i="5" s="1"/>
  <c r="C5" i="5" a="1"/>
  <c r="C5" i="5" s="1"/>
  <c r="D11" i="3"/>
  <c r="P11" i="3" s="1"/>
  <c r="C4" i="5" a="1"/>
  <c r="C4" i="5" s="1"/>
  <c r="C13" i="3"/>
  <c r="O13" i="3" s="1"/>
  <c r="D21" i="3"/>
  <c r="P21" i="3" s="1"/>
  <c r="D9" i="3"/>
  <c r="P9" i="3" s="1"/>
  <c r="G13" i="3"/>
  <c r="Q20" i="1"/>
  <c r="R20" i="1" s="1"/>
  <c r="E20" i="3" s="1"/>
  <c r="D8" i="3"/>
  <c r="P8" i="3" s="1"/>
  <c r="G12" i="3"/>
  <c r="Q14" i="3"/>
  <c r="Q10" i="1"/>
  <c r="R10" i="1" s="1"/>
  <c r="S10" i="1" s="1"/>
  <c r="T10" i="1" s="1"/>
  <c r="C2" i="3"/>
  <c r="O2" i="3" s="1"/>
  <c r="C10" i="3"/>
  <c r="O10" i="3" s="1"/>
  <c r="F14" i="3"/>
  <c r="G2" i="3"/>
  <c r="G10" i="3"/>
  <c r="D3" i="4"/>
  <c r="D7" i="4" s="1"/>
  <c r="D6" i="5" a="1"/>
  <c r="D6" i="5" s="1"/>
  <c r="F4" i="5" a="1"/>
  <c r="F4" i="5" s="1"/>
  <c r="E5" i="5" a="1"/>
  <c r="E5" i="5" s="1"/>
  <c r="F21" i="3"/>
  <c r="F9" i="3"/>
  <c r="E7" i="5" a="1"/>
  <c r="E7" i="5" s="1"/>
  <c r="B5" i="5" a="1"/>
  <c r="B5" i="5" s="1"/>
  <c r="C14" i="3"/>
  <c r="O14" i="3" s="1"/>
  <c r="P2" i="3"/>
  <c r="B7" i="5" a="1"/>
  <c r="B7" i="5" s="1"/>
  <c r="C21" i="3"/>
  <c r="O21" i="3" s="1"/>
  <c r="C9" i="3"/>
  <c r="O9" i="3" s="1"/>
  <c r="B4" i="5" a="1"/>
  <c r="B4" i="5" s="1"/>
  <c r="E5" i="3"/>
  <c r="S5" i="1"/>
  <c r="Q4" i="3"/>
  <c r="E2" i="3"/>
  <c r="S2" i="1"/>
  <c r="T2" i="1" s="1"/>
  <c r="E3" i="3"/>
  <c r="S3" i="1"/>
  <c r="T3" i="1" s="1"/>
  <c r="S4" i="1"/>
  <c r="T4" i="1" s="1"/>
  <c r="E4" i="3"/>
  <c r="E11" i="3"/>
  <c r="S11" i="1"/>
  <c r="T11" i="1" s="1"/>
  <c r="E12" i="3"/>
  <c r="S12" i="1"/>
  <c r="T12" i="1" s="1"/>
  <c r="S13" i="1"/>
  <c r="T13" i="1" s="1"/>
  <c r="L12" i="3"/>
  <c r="S8" i="1"/>
  <c r="T8" i="1" s="1"/>
  <c r="S19" i="1"/>
  <c r="T19" i="1" s="1"/>
  <c r="S7" i="1"/>
  <c r="T7" i="1" s="1"/>
  <c r="S18" i="1"/>
  <c r="T18" i="1" s="1"/>
  <c r="S6" i="1"/>
  <c r="T6" i="1" s="1"/>
  <c r="Q19" i="3"/>
  <c r="Q7" i="3"/>
  <c r="M14" i="3"/>
  <c r="Q18" i="3"/>
  <c r="Q6" i="3"/>
  <c r="M13" i="3"/>
  <c r="M10" i="3"/>
  <c r="L16" i="3"/>
  <c r="L15" i="3"/>
  <c r="M20" i="3"/>
  <c r="L14" i="3"/>
  <c r="M19" i="3"/>
  <c r="M7" i="3"/>
  <c r="M18" i="3"/>
  <c r="M6" i="3"/>
  <c r="M4" i="3"/>
  <c r="M3" i="3"/>
  <c r="L3" i="3"/>
  <c r="P3" i="3"/>
  <c r="AU11" i="1" l="1"/>
  <c r="AU20" i="1"/>
  <c r="AU17" i="1"/>
  <c r="L2" i="3"/>
  <c r="S21" i="1"/>
  <c r="T21" i="1" s="1"/>
  <c r="E14" i="3"/>
  <c r="L17" i="3"/>
  <c r="L6" i="3"/>
  <c r="E16" i="3"/>
  <c r="Q5" i="3"/>
  <c r="M5" i="3"/>
  <c r="L7" i="3"/>
  <c r="M16" i="3"/>
  <c r="E17" i="3"/>
  <c r="L20" i="3"/>
  <c r="Q10" i="3"/>
  <c r="S9" i="1"/>
  <c r="T9" i="1" s="1"/>
  <c r="S15" i="1"/>
  <c r="T15" i="1" s="1"/>
  <c r="Q13" i="3"/>
  <c r="Q17" i="3"/>
  <c r="Q2" i="3"/>
  <c r="P17" i="3"/>
  <c r="Q11" i="3"/>
  <c r="Q15" i="3"/>
  <c r="M11" i="3"/>
  <c r="B5" i="3"/>
  <c r="N5" i="3" s="1"/>
  <c r="T5" i="1"/>
  <c r="Q20" i="3"/>
  <c r="B17" i="3"/>
  <c r="T17" i="1"/>
  <c r="M2" i="3"/>
  <c r="L11" i="3"/>
  <c r="M15" i="3"/>
  <c r="L4" i="3"/>
  <c r="L18" i="3"/>
  <c r="L5" i="3"/>
  <c r="E10" i="3"/>
  <c r="Q16" i="3"/>
  <c r="L19" i="3"/>
  <c r="Q8" i="3"/>
  <c r="P12" i="3"/>
  <c r="Q12" i="3"/>
  <c r="L9" i="3"/>
  <c r="D10" i="4"/>
  <c r="B3" i="4"/>
  <c r="B4" i="4" s="1"/>
  <c r="M12" i="3"/>
  <c r="L21" i="3"/>
  <c r="Q21" i="3"/>
  <c r="M9" i="3"/>
  <c r="D4" i="4"/>
  <c r="D9" i="4" s="1"/>
  <c r="M21" i="3"/>
  <c r="L8" i="3"/>
  <c r="S20" i="1"/>
  <c r="T20" i="1" s="1"/>
  <c r="C4" i="4"/>
  <c r="M8" i="3"/>
  <c r="Q9" i="3"/>
  <c r="C10" i="4"/>
  <c r="L13" i="3"/>
  <c r="L10" i="3"/>
  <c r="B16" i="3"/>
  <c r="B8" i="3"/>
  <c r="B15" i="3"/>
  <c r="B10" i="3"/>
  <c r="B7" i="3"/>
  <c r="B18" i="3"/>
  <c r="B13" i="3"/>
  <c r="B12" i="3"/>
  <c r="B4" i="3"/>
  <c r="B11" i="3"/>
  <c r="B3" i="3"/>
  <c r="B19" i="3"/>
  <c r="B21" i="3"/>
  <c r="B14" i="3"/>
  <c r="B2" i="3"/>
  <c r="B6" i="3"/>
  <c r="B9" i="3" l="1"/>
  <c r="K9" i="3" s="1"/>
  <c r="N17" i="3"/>
  <c r="K17" i="3"/>
  <c r="B20" i="3"/>
  <c r="K20" i="3" s="1"/>
  <c r="K5" i="3"/>
  <c r="B7" i="4"/>
  <c r="D5" i="4"/>
  <c r="C9" i="4"/>
  <c r="C5" i="4"/>
  <c r="B9" i="4"/>
  <c r="B5" i="4"/>
  <c r="N21" i="3"/>
  <c r="K21" i="3"/>
  <c r="K19" i="3"/>
  <c r="N19" i="3"/>
  <c r="N6" i="3"/>
  <c r="K6" i="3"/>
  <c r="N8" i="3"/>
  <c r="K8" i="3"/>
  <c r="K3" i="3"/>
  <c r="N3" i="3"/>
  <c r="N4" i="3"/>
  <c r="K4" i="3"/>
  <c r="N13" i="3"/>
  <c r="K13" i="3"/>
  <c r="K18" i="3"/>
  <c r="N18" i="3"/>
  <c r="N7" i="3"/>
  <c r="K7" i="3"/>
  <c r="N12" i="3"/>
  <c r="K12" i="3"/>
  <c r="N14" i="3"/>
  <c r="K14" i="3"/>
  <c r="N10" i="3"/>
  <c r="K10" i="3"/>
  <c r="N15" i="3"/>
  <c r="K15" i="3"/>
  <c r="K2" i="3"/>
  <c r="N2" i="3"/>
  <c r="B10" i="4"/>
  <c r="N11" i="3"/>
  <c r="K11" i="3"/>
  <c r="N16" i="3"/>
  <c r="K16" i="3"/>
  <c r="N20" i="3" l="1"/>
  <c r="N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<sst xmlns="http://schemas.openxmlformats.org/spreadsheetml/2006/main" count="229" uniqueCount="178">
  <si>
    <t>Route ID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</si>
  <si>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</si>
  <si>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</si>
  <si>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</si>
  <si>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</si>
  <si>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</si>
  <si>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</si>
  <si>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</si>
  <si>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</si>
  <si>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</si>
  <si>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</si>
  <si>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</si>
  <si>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</si>
  <si>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</si>
  <si>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</si>
  <si>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</si>
  <si>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</si>
  <si>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</si>
  <si>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</si>
  <si>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</si>
  <si>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</si>
  <si>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 xml:space="preserve">Origin </t>
  </si>
  <si>
    <t xml:space="preserve">Destination </t>
  </si>
  <si>
    <t>Kanpur</t>
  </si>
  <si>
    <t>Delhi</t>
  </si>
  <si>
    <t>Jodhpur</t>
  </si>
  <si>
    <t xml:space="preserve">Bhopal </t>
  </si>
  <si>
    <t>Mumbai</t>
  </si>
  <si>
    <t>Coimbatore</t>
  </si>
  <si>
    <t xml:space="preserve">Chennai </t>
  </si>
  <si>
    <t>Rajkot</t>
  </si>
  <si>
    <t xml:space="preserve">Mumbai </t>
  </si>
  <si>
    <t>Varanasi</t>
  </si>
  <si>
    <t>Jabalpur</t>
  </si>
  <si>
    <t>Aurangabad</t>
  </si>
  <si>
    <t>Belgavi</t>
  </si>
  <si>
    <t xml:space="preserve">Bengaluru </t>
  </si>
  <si>
    <t xml:space="preserve">Tirupati </t>
  </si>
  <si>
    <t xml:space="preserve">Hyderabad </t>
  </si>
  <si>
    <t>Bikaner</t>
  </si>
  <si>
    <t xml:space="preserve">Delhi </t>
  </si>
  <si>
    <t xml:space="preserve">Jamnagar </t>
  </si>
  <si>
    <t>Kolhapur</t>
  </si>
  <si>
    <t>Gwalior</t>
  </si>
  <si>
    <t>Hubali</t>
  </si>
  <si>
    <t>Diu</t>
  </si>
  <si>
    <t>Kishangarh</t>
  </si>
  <si>
    <t xml:space="preserve">Salem </t>
  </si>
  <si>
    <t>Patnagar</t>
  </si>
  <si>
    <t xml:space="preserve">Puducherry </t>
  </si>
  <si>
    <t>Seats</t>
  </si>
  <si>
    <t>load factor</t>
  </si>
  <si>
    <t>Flight Hours</t>
  </si>
  <si>
    <t xml:space="preserve">Weekly Frequency </t>
  </si>
  <si>
    <t>Distance (km)</t>
  </si>
  <si>
    <t>Fare (Rs)</t>
  </si>
  <si>
    <t>Annual departures (52 * weekly freq)</t>
  </si>
  <si>
    <t>Passenger per flight</t>
  </si>
  <si>
    <t>ASK</t>
  </si>
  <si>
    <t>Revenue(Rs)</t>
  </si>
  <si>
    <t>Assumption</t>
  </si>
  <si>
    <t>Value</t>
  </si>
  <si>
    <t>Unit</t>
  </si>
  <si>
    <t>Base ATF Price</t>
  </si>
  <si>
    <t>₹/KL</t>
  </si>
  <si>
    <t>Fuel Burn</t>
  </si>
  <si>
    <t>KL/hour</t>
  </si>
  <si>
    <t>Crew Cost</t>
  </si>
  <si>
    <t>₹/flight</t>
  </si>
  <si>
    <t>Airport Cost</t>
  </si>
  <si>
    <t>Lease Cost</t>
  </si>
  <si>
    <t>Maintenance Cost</t>
  </si>
  <si>
    <t>₹/hour</t>
  </si>
  <si>
    <t>Cruise Speed</t>
  </si>
  <si>
    <t>km/hour</t>
  </si>
  <si>
    <t>Cruise speed(km/hr)</t>
  </si>
  <si>
    <t>Fuel cost (Rs)</t>
  </si>
  <si>
    <t xml:space="preserve">Maintanance cost (Rs) </t>
  </si>
  <si>
    <t>Other cost (Rs)</t>
  </si>
  <si>
    <t>EBITDA (Rs)</t>
  </si>
  <si>
    <t>Total operating  cost (Rs)</t>
  </si>
  <si>
    <t xml:space="preserve">EBITDA Margin </t>
  </si>
  <si>
    <t>Base</t>
  </si>
  <si>
    <t xml:space="preserve"> +10% Fuel </t>
  </si>
  <si>
    <t xml:space="preserve"> +20% Fuel </t>
  </si>
  <si>
    <t>CASK</t>
  </si>
  <si>
    <t>Base CASK</t>
  </si>
  <si>
    <t xml:space="preserve"> +10% CASK</t>
  </si>
  <si>
    <t xml:space="preserve"> +20% CASK</t>
  </si>
  <si>
    <t>Base RASK</t>
  </si>
  <si>
    <t xml:space="preserve"> +10% RASK</t>
  </si>
  <si>
    <t xml:space="preserve"> +20% RASK</t>
  </si>
  <si>
    <t xml:space="preserve">Base Cash Burn </t>
  </si>
  <si>
    <t xml:space="preserve"> +10% cash burn</t>
  </si>
  <si>
    <t xml:space="preserve"> +20% cash burn </t>
  </si>
  <si>
    <t>KPI</t>
  </si>
  <si>
    <t>Total Revenue</t>
  </si>
  <si>
    <t>Total Operating Cost</t>
  </si>
  <si>
    <t>Total EBITDA</t>
  </si>
  <si>
    <t>RASK</t>
  </si>
  <si>
    <t xml:space="preserve"> +10% Fuel</t>
  </si>
  <si>
    <t xml:space="preserve"> +20% Fuel</t>
  </si>
  <si>
    <t>Total ASK</t>
  </si>
  <si>
    <t xml:space="preserve">Monthly Cash Burn </t>
  </si>
  <si>
    <t>Loss making routes</t>
  </si>
  <si>
    <t>Base EBITDA margin</t>
  </si>
  <si>
    <t xml:space="preserve"> +10% EBITDA margin</t>
  </si>
  <si>
    <t xml:space="preserve"> +20% EBITDA margin</t>
  </si>
  <si>
    <t>Route status (20% fuel)</t>
  </si>
  <si>
    <t>Load Factor ↓ / Fuel Price Increase →</t>
  </si>
  <si>
    <t>Ancillary Revenue / Passenger</t>
  </si>
  <si>
    <t>₹/passenger</t>
  </si>
  <si>
    <t>Fare Increase</t>
  </si>
  <si>
    <t>%</t>
  </si>
  <si>
    <t>Price Elasticity</t>
  </si>
  <si>
    <t>coefficient</t>
  </si>
  <si>
    <t>Maximum Realistic Load Factor</t>
  </si>
  <si>
    <t>UDAN Fare Cap</t>
  </si>
  <si>
    <t>₹/flight-hour</t>
  </si>
  <si>
    <t>RCS Seat Share</t>
  </si>
  <si>
    <t>ATF Relief</t>
  </si>
  <si>
    <t>Airport Charge Relief</t>
  </si>
  <si>
    <t>VGF / RCS Passenger</t>
  </si>
  <si>
    <t>UDAN Eligible</t>
  </si>
  <si>
    <t>Y</t>
  </si>
  <si>
    <t>N</t>
  </si>
  <si>
    <t>Break Even Load Factor</t>
  </si>
  <si>
    <t>Total Cost @ 20% Fuel</t>
  </si>
  <si>
    <t xml:space="preserve">Route Viability @ 20% Fuel </t>
  </si>
  <si>
    <t xml:space="preserve">Structural viability </t>
  </si>
  <si>
    <t>Option 1: Fare Hike</t>
  </si>
  <si>
    <t>Fare After Hike</t>
  </si>
  <si>
    <t>Load Factor after Hike</t>
  </si>
  <si>
    <t>Passengers after hike</t>
  </si>
  <si>
    <t>New Revenue after Hike</t>
  </si>
  <si>
    <t>Option 1 EBITDA</t>
  </si>
  <si>
    <t>Option 1 Annual EBITDA</t>
  </si>
  <si>
    <t>Option 1 EBITDA Margin</t>
  </si>
  <si>
    <t xml:space="preserve">20% Fuel EBITDA </t>
  </si>
  <si>
    <t>Option 2 (Y/N)</t>
  </si>
  <si>
    <t>Option 2 EBITDA</t>
  </si>
  <si>
    <t>Option 2 Annual EBITDA</t>
  </si>
  <si>
    <t>UDAN FARE CAP</t>
  </si>
  <si>
    <t>RCS Passengers</t>
  </si>
  <si>
    <t xml:space="preserve">Normal Passenger </t>
  </si>
  <si>
    <t>UDAN Revenue</t>
  </si>
  <si>
    <t>UDAN Fuel cost</t>
  </si>
  <si>
    <t>UDAN Airport cost</t>
  </si>
  <si>
    <t>VGF Revenue</t>
  </si>
  <si>
    <t>UDAN Total cost</t>
  </si>
  <si>
    <t>Option 3 EBITDA</t>
  </si>
  <si>
    <t>Option 3 Annual EBITDA</t>
  </si>
  <si>
    <t>Option 3 EBITDA margin</t>
  </si>
  <si>
    <t>Blended Strategy</t>
  </si>
  <si>
    <t>Blended EBITDA</t>
  </si>
  <si>
    <t>Blended Annual EBITDA</t>
  </si>
  <si>
    <t>Strategy</t>
  </si>
  <si>
    <t>Annual EBITDA</t>
  </si>
  <si>
    <t>Do Nothing (+20% Fuel)</t>
  </si>
  <si>
    <t>Option 1 – Fare Hike</t>
  </si>
  <si>
    <t>Option 2 – Rationalization</t>
  </si>
  <si>
    <t>Option 3 – UDAN</t>
  </si>
  <si>
    <t>EBITDA Margin</t>
  </si>
  <si>
    <t>Improvement vs Do Nothing</t>
  </si>
  <si>
    <t xml:space="preserve">Key Recommendation </t>
  </si>
  <si>
    <t>Fuel Stress Case</t>
  </si>
  <si>
    <t>+20% Fuel</t>
  </si>
  <si>
    <t>Best Network Strategy</t>
  </si>
  <si>
    <t>Network EBITDA</t>
  </si>
  <si>
    <t>Origin</t>
  </si>
  <si>
    <t>Destination</t>
  </si>
  <si>
    <t>Improvement vs +20%</t>
  </si>
  <si>
    <t>Improvement vs +20% Fuel</t>
  </si>
  <si>
    <t>Number of Routes</t>
  </si>
  <si>
    <t>UDAN</t>
  </si>
  <si>
    <t>Rationalize</t>
  </si>
  <si>
    <t>Fare Hike</t>
  </si>
  <si>
    <t>Keep as it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</si>
</sst>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&quot;₹&quot;\ #,##0"/>
    <numFmt numFmtId="165" formatCode="#,##0.0"/>
    <numFmt numFmtId="166" formatCode="&quot;₹&quot;\ #,##0;\ \(&quot;₹&quot;\ #,##0\)"/>
    <numFmt numFmtId="172" formatCode="&quot;₹&quot;\ #,##0.00"/>
  </numFmts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9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/>
    <xf numFmtId="164" fontId="0" fillId="7" borderId="0" xfId="0" applyNumberFormat="1" applyFill="1"/>
    <xf numFmtId="10" fontId="0" fillId="0" borderId="0" xfId="0" applyNumberFormat="1"/>
    <xf numFmtId="9" fontId="1" fillId="5" borderId="0" xfId="0" applyNumberFormat="1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0" fontId="1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10" fontId="0" fillId="0" borderId="0" xfId="2" applyNumberFormat="1" applyFont="1"/>
    <xf numFmtId="164" fontId="0" fillId="0" borderId="0" xfId="0" applyNumberFormat="1" applyAlignment="1">
      <alignment horizontal="right" vertical="top" wrapText="1"/>
    </xf>
    <xf numFmtId="9" fontId="0" fillId="0" borderId="0" xfId="2" applyFon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2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66" fontId="0" fillId="0" borderId="0" xfId="1" applyNumberFormat="1" applyFont="1"/>
    <xf numFmtId="166" fontId="5" fillId="0" borderId="0" xfId="1" applyNumberFormat="1" applyFont="1" applyFill="1"/>
    <xf numFmtId="0" fontId="0" fillId="0" borderId="0" xfId="0" applyAlignment="1">
      <alignment vertical="center"/>
    </xf>
    <xf numFmtId="166" fontId="0" fillId="0" borderId="0" xfId="1" applyNumberFormat="1" applyFont="1" applyAlignment="1"/>
    <xf numFmtId="166" fontId="0" fillId="0" borderId="0" xfId="0" applyNumberFormat="1"/>
    <xf numFmtId="0" fontId="4" fillId="1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72" fontId="0" fillId="0" borderId="0" xfId="0" applyNumberFormat="1" applyAlignment="1">
      <alignment vertical="center" wrapText="1"/>
    </xf>
    <xf numFmtId="172" fontId="0" fillId="0" borderId="0" xfId="0" applyNumberFormat="1"/>
    <xf numFmtId="0" fontId="0" fillId="0" borderId="0" xfId="0" applyAlignment="1">
      <alignment horizontal="right"/>
    </xf>
    <xf numFmtId="0" fontId="1" fillId="11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center" wrapText="1"/>
    </xf>
    <xf numFmtId="166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4" fillId="13" borderId="0" xfId="0" applyFont="1" applyFill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1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77A7-9D6E-458F-B8AC-D5E28B0955E3}">
  <dimension ref="A1:AZ22"/>
  <sheetViews>
    <sheetView tabSelected="1" workbookViewId="0">
      <pane ySplit="1" topLeftCell="A2" activePane="bottomLeft" state="frozen"/>
      <selection pane="bottomLeft" activeCell="AZ1" sqref="AZ1"/>
    </sheetView>
  </sheetViews>
  <sheetFormatPr defaultRowHeight="14.5" x14ac:dyDescent="0.35"/>
  <cols>
    <col min="1" max="1" width="7.1796875" style="2" customWidth="1"/>
    <col min="2" max="2" width="10.90625" style="2" customWidth="1"/>
    <col min="3" max="3" width="10.7265625" style="2" customWidth="1"/>
    <col min="4" max="4" width="8.90625" style="2" customWidth="1"/>
    <col min="5" max="5" width="10.36328125" style="2" customWidth="1"/>
    <col min="6" max="6" width="7.1796875" style="2" customWidth="1"/>
    <col min="7" max="7" width="9.08984375" style="2" customWidth="1"/>
    <col min="8" max="8" width="8.36328125" style="2" customWidth="1"/>
    <col min="9" max="9" width="8.81640625" style="2" customWidth="1"/>
    <col min="10" max="10" width="13.08984375" style="2" customWidth="1"/>
    <col min="11" max="11" width="12.26953125" style="2" customWidth="1"/>
    <col min="12" max="12" width="9.54296875" style="2" customWidth="1"/>
    <col min="13" max="13" width="7" style="2" customWidth="1"/>
    <col min="14" max="14" width="11.90625" style="2" customWidth="1"/>
    <col min="15" max="15" width="11.36328125" style="2" bestFit="1" customWidth="1"/>
    <col min="16" max="16" width="12.08984375" style="2" customWidth="1"/>
    <col min="17" max="17" width="12.6328125" style="2" customWidth="1"/>
    <col min="18" max="18" width="14.26953125" style="2" customWidth="1"/>
    <col min="19" max="19" width="10.453125" style="2" customWidth="1"/>
    <col min="20" max="20" width="11.1796875" style="2" customWidth="1"/>
    <col min="21" max="21" width="12.1796875" style="2" customWidth="1"/>
    <col min="22" max="22" width="13.81640625" style="2" customWidth="1"/>
    <col min="23" max="23" width="14.08984375" style="2" customWidth="1"/>
    <col min="24" max="24" width="14.1796875" style="2" customWidth="1"/>
    <col min="25" max="25" width="19.6328125" style="34" customWidth="1"/>
    <col min="26" max="26" width="9.54296875" style="2" customWidth="1"/>
    <col min="27" max="27" width="8.7265625" style="2"/>
    <col min="28" max="28" width="10.1796875" style="2" customWidth="1"/>
    <col min="29" max="29" width="12.54296875" style="2" customWidth="1"/>
    <col min="30" max="30" width="13.36328125" style="2" customWidth="1"/>
    <col min="31" max="31" width="11.6328125" style="2" customWidth="1"/>
    <col min="32" max="32" width="14.26953125" style="2" bestFit="1" customWidth="1"/>
    <col min="33" max="33" width="10.6328125" style="2" customWidth="1"/>
    <col min="34" max="34" width="11.81640625" style="2" customWidth="1"/>
    <col min="35" max="35" width="10.90625" style="2" customWidth="1"/>
    <col min="36" max="36" width="11.36328125" style="2" bestFit="1" customWidth="1"/>
    <col min="37" max="37" width="14.453125" style="2" customWidth="1"/>
    <col min="38" max="38" width="9.6328125" style="2" customWidth="1"/>
    <col min="39" max="39" width="12.26953125" style="2" customWidth="1"/>
    <col min="40" max="40" width="10" style="2" customWidth="1"/>
    <col min="41" max="41" width="10.81640625" style="2" customWidth="1"/>
    <col min="42" max="42" width="11.6328125" style="2" customWidth="1"/>
    <col min="43" max="43" width="9.08984375" style="2" customWidth="1"/>
    <col min="44" max="44" width="8.7265625" style="2"/>
    <col min="45" max="45" width="15.1796875" style="2" customWidth="1"/>
    <col min="46" max="46" width="12" style="2" customWidth="1"/>
    <col min="47" max="47" width="16.26953125" style="2" customWidth="1"/>
    <col min="48" max="48" width="10.453125" style="2" customWidth="1"/>
    <col min="49" max="49" width="11.54296875" style="2" customWidth="1"/>
    <col min="50" max="50" width="12" style="2" customWidth="1"/>
    <col min="51" max="51" width="15.08984375" style="2" customWidth="1"/>
    <col min="52" max="52" width="14.26953125" style="2" customWidth="1"/>
    <col min="53" max="16384" width="8.7265625" style="2"/>
  </cols>
  <sheetData>
    <row r="1" spans="1:52" s="1" customFormat="1" ht="42.5" customHeight="1" x14ac:dyDescent="0.35">
      <c r="A1" s="14" t="s">
        <v>0</v>
      </c>
      <c r="B1" s="14" t="s">
        <v>21</v>
      </c>
      <c r="C1" s="14" t="s">
        <v>22</v>
      </c>
      <c r="D1" s="5" t="s">
        <v>54</v>
      </c>
      <c r="E1" s="5" t="s">
        <v>53</v>
      </c>
      <c r="F1" s="5" t="s">
        <v>50</v>
      </c>
      <c r="G1" s="5" t="s">
        <v>51</v>
      </c>
      <c r="H1" s="5" t="s">
        <v>55</v>
      </c>
      <c r="I1" s="5" t="s">
        <v>52</v>
      </c>
      <c r="J1" s="5" t="s">
        <v>75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76</v>
      </c>
      <c r="P1" s="7" t="s">
        <v>77</v>
      </c>
      <c r="Q1" s="7" t="s">
        <v>78</v>
      </c>
      <c r="R1" s="7" t="s">
        <v>80</v>
      </c>
      <c r="S1" s="7" t="s">
        <v>79</v>
      </c>
      <c r="T1" s="7" t="s">
        <v>81</v>
      </c>
      <c r="U1" s="33" t="s">
        <v>123</v>
      </c>
      <c r="V1" s="33" t="s">
        <v>126</v>
      </c>
      <c r="W1" s="33" t="s">
        <v>127</v>
      </c>
      <c r="X1" s="33" t="s">
        <v>128</v>
      </c>
      <c r="Y1" s="33" t="s">
        <v>129</v>
      </c>
      <c r="Z1" s="39" t="s">
        <v>130</v>
      </c>
      <c r="AA1" s="39" t="s">
        <v>131</v>
      </c>
      <c r="AB1" s="39" t="s">
        <v>132</v>
      </c>
      <c r="AC1" s="39" t="s">
        <v>133</v>
      </c>
      <c r="AD1" s="39" t="s">
        <v>134</v>
      </c>
      <c r="AE1" s="39" t="s">
        <v>135</v>
      </c>
      <c r="AF1" s="39" t="s">
        <v>136</v>
      </c>
      <c r="AG1" s="39" t="s">
        <v>137</v>
      </c>
      <c r="AH1" s="45" t="s">
        <v>138</v>
      </c>
      <c r="AI1" s="45" t="s">
        <v>139</v>
      </c>
      <c r="AJ1" s="45" t="s">
        <v>140</v>
      </c>
      <c r="AK1" s="45" t="s">
        <v>141</v>
      </c>
      <c r="AL1" s="45" t="s">
        <v>142</v>
      </c>
      <c r="AM1" s="45" t="s">
        <v>143</v>
      </c>
      <c r="AN1" s="45" t="s">
        <v>144</v>
      </c>
      <c r="AO1" s="45" t="s">
        <v>145</v>
      </c>
      <c r="AP1" s="45" t="s">
        <v>146</v>
      </c>
      <c r="AQ1" s="45" t="s">
        <v>147</v>
      </c>
      <c r="AR1" s="45" t="s">
        <v>148</v>
      </c>
      <c r="AS1" s="45" t="s">
        <v>149</v>
      </c>
      <c r="AT1" s="45" t="s">
        <v>150</v>
      </c>
      <c r="AU1" s="45" t="s">
        <v>151</v>
      </c>
      <c r="AV1" s="45" t="s">
        <v>152</v>
      </c>
      <c r="AW1" s="45" t="s">
        <v>153</v>
      </c>
      <c r="AX1" s="45" t="s">
        <v>154</v>
      </c>
      <c r="AY1" s="45" t="s">
        <v>155</v>
      </c>
      <c r="AZ1" s="50" t="s">
        <v>172</v>
      </c>
    </row>
    <row r="2" spans="1:52" x14ac:dyDescent="0.35">
      <c r="A2" s="2" t="s">
        <v>1</v>
      </c>
      <c r="B2" s="2" t="s">
        <v>23</v>
      </c>
      <c r="C2" s="2" t="s">
        <v>24</v>
      </c>
      <c r="D2">
        <v>440</v>
      </c>
      <c r="E2" s="2">
        <v>14</v>
      </c>
      <c r="F2" s="2">
        <v>70</v>
      </c>
      <c r="G2" s="4">
        <v>0.78</v>
      </c>
      <c r="H2" s="36">
        <v>3200</v>
      </c>
      <c r="I2" s="2">
        <f>D2/J2</f>
        <v>0.88</v>
      </c>
      <c r="J2" s="2">
        <v>500</v>
      </c>
      <c r="K2" s="2">
        <f>52*E2</f>
        <v>728</v>
      </c>
      <c r="L2" s="6">
        <f>F2*G2</f>
        <v>54.6</v>
      </c>
      <c r="M2" s="2">
        <f>F2*D2</f>
        <v>30800</v>
      </c>
      <c r="N2" s="36">
        <f>L2*H2</f>
        <v>174720</v>
      </c>
      <c r="O2" s="36">
        <f>I2*Assumptions!B3*Assumptions!B2</f>
        <v>62138.267400000004</v>
      </c>
      <c r="P2" s="36">
        <f>I2*Assumptions!B7</f>
        <v>8800</v>
      </c>
      <c r="Q2" s="36">
        <f>Data!P2+Assumptions!B4+Assumptions!B5+Assumptions!B6</f>
        <v>64800</v>
      </c>
      <c r="R2" s="36">
        <f>Q2+O2</f>
        <v>126938.26740000001</v>
      </c>
      <c r="S2" s="36">
        <f>N2-R2</f>
        <v>47781.732599999988</v>
      </c>
      <c r="T2" s="35">
        <f>(S2/N2)</f>
        <v>0.2734760336538461</v>
      </c>
      <c r="U2" s="34" t="s">
        <v>124</v>
      </c>
      <c r="V2" s="35">
        <f>W2/(F2*H2)</f>
        <v>0.62216928964285712</v>
      </c>
      <c r="W2" s="37">
        <f>P2+I2*Assumptions!$B$3*Assumptions!$B$2*1.2+Assumptions!$B$4+Assumptions!$B$5+Assumptions!$B$6</f>
        <v>139365.92087999999</v>
      </c>
      <c r="X2" s="34" t="str">
        <f>IF(G2&gt;=V2,"Viable","At Risk")</f>
        <v>Viable</v>
      </c>
      <c r="Y2" s="38" t="str">
        <f>IF(V2&gt;Assumptions!$B$12,"Structurally Weak","Potentially Viable")</f>
        <v>Potentially Viable</v>
      </c>
      <c r="Z2" s="4">
        <f>Assumptions!B$10</f>
        <v>0.08</v>
      </c>
      <c r="AA2" s="37">
        <f>H2*(1+Z2)</f>
        <v>3456</v>
      </c>
      <c r="AB2" s="35">
        <f>MIN(Assumptions!B$12,G2*(1+Z2*Assumptions!B$11))</f>
        <v>0.69888000000000006</v>
      </c>
      <c r="AC2" s="6">
        <f>F2*AB2</f>
        <v>48.921600000000005</v>
      </c>
      <c r="AD2" s="37">
        <f>AC2*(AA2)</f>
        <v>169073.04960000003</v>
      </c>
      <c r="AE2" s="40">
        <f>AD2-(P2+I2*Assumptions!$B$3*Assumptions!$B$2*1.2+Assumptions!$B$4+Assumptions!$B$5+Assumptions!$B$6)</f>
        <v>29707.128720000037</v>
      </c>
      <c r="AF2" s="40">
        <f>AE2*K2</f>
        <v>21626789.708160028</v>
      </c>
      <c r="AG2" s="35">
        <f>AE2/AD2</f>
        <v>0.17570587855534861</v>
      </c>
      <c r="AH2" s="40">
        <f>'Scenario Analysis'!D2</f>
        <v>35354.079120000009</v>
      </c>
      <c r="AI2" s="46" t="str">
        <f>IF(AND(AH2&lt;0,U2="N"),"Rationalize","Keep")</f>
        <v>Keep</v>
      </c>
      <c r="AJ2" s="40">
        <f>IF(AI2="Rationalize",0,AH2)</f>
        <v>35354.079120000009</v>
      </c>
      <c r="AK2" s="40">
        <f>AJ2*K2</f>
        <v>25737769.599360008</v>
      </c>
      <c r="AL2" s="40">
        <f>IF(U2="Y",MIN(H2,Assumptions!$B$13*I2),0)</f>
        <v>2200</v>
      </c>
      <c r="AM2" s="6">
        <f>IF(U2="Y",L2*Assumptions!$B$14,0)</f>
        <v>27.3</v>
      </c>
      <c r="AN2" s="6">
        <f>IF(U2="Y",L2*(1-Assumptions!$B$14),0)</f>
        <v>27.3</v>
      </c>
      <c r="AO2" s="40">
        <f>IF(U2="Y",AM2*AL2+AN2*H2+L2*Assumptions!$B$9,0)</f>
        <v>166530</v>
      </c>
      <c r="AP2" s="47">
        <f>IF(U2="Y",O2*1.2*(1-Assumptions!$B$15),0)</f>
        <v>63381.032748000005</v>
      </c>
      <c r="AQ2" s="40">
        <f>IF(U2="Y",Assumptions!$B$5*(1-Assumptions!$B$16),0)</f>
        <v>8400</v>
      </c>
      <c r="AR2" s="40">
        <f>IF(U2="Y",AM2*Assumptions!$B$17,0)</f>
        <v>40950</v>
      </c>
      <c r="AS2" s="48">
        <f>IF(U2="Y",AP2+P2+Assumptions!$B$4+AQ2+Assumptions!$B$6,0)</f>
        <v>122581.032748</v>
      </c>
      <c r="AT2" s="47">
        <f>IF(U2="Y",AO2+AR2-AS2,0)</f>
        <v>84898.967252000002</v>
      </c>
      <c r="AU2" s="47">
        <f>AT2*K2</f>
        <v>61806448.159456</v>
      </c>
      <c r="AV2" s="35">
        <f>IFERROR(AT2/(AO2+AR2),0)</f>
        <v>0.40919108951224215</v>
      </c>
      <c r="AW2" s="49" t="str">
        <f>IF(U2="Y",IF(AT2&gt;=MAX(AH2,AE2,AT2),"UDAN",IF(AE2&gt;=AH2,"Fare Hike","Keep as-is")),IF(AJ2=0,"Rationalize",IF(AE2&gt;=AH2,"Fare Hike","Keep as-is")))</f>
        <v>UDAN</v>
      </c>
      <c r="AX2" s="47">
        <f>IF(AW2="UDAN",AT2,IF(AW2="Fare Hike",AE2,IF(AW2="Rationalize",0,AH2)))</f>
        <v>84898.967252000002</v>
      </c>
      <c r="AY2" s="47">
        <f>AX2*K2</f>
        <v>61806448.159456</v>
      </c>
      <c r="AZ2" s="48">
        <f>AX2-AH2</f>
        <v>49544.888131999993</v>
      </c>
    </row>
    <row r="3" spans="1:52" x14ac:dyDescent="0.35">
      <c r="A3" s="2" t="s">
        <v>2</v>
      </c>
      <c r="B3" s="2" t="s">
        <v>25</v>
      </c>
      <c r="C3" s="2" t="s">
        <v>24</v>
      </c>
      <c r="D3">
        <v>590</v>
      </c>
      <c r="E3" s="2">
        <v>10</v>
      </c>
      <c r="F3" s="2">
        <v>70</v>
      </c>
      <c r="G3" s="4">
        <v>0.74</v>
      </c>
      <c r="H3" s="36">
        <v>3600</v>
      </c>
      <c r="I3" s="2">
        <f t="shared" ref="I3:I21" si="0">D3/J3</f>
        <v>1.18</v>
      </c>
      <c r="J3" s="2">
        <v>500</v>
      </c>
      <c r="K3" s="2">
        <f t="shared" ref="K3:K21" si="1">52*E3</f>
        <v>520</v>
      </c>
      <c r="L3" s="6">
        <f t="shared" ref="L3:L21" si="2">F3*G3</f>
        <v>51.8</v>
      </c>
      <c r="M3" s="2">
        <f t="shared" ref="M3:M21" si="3">F3*D3</f>
        <v>41300</v>
      </c>
      <c r="N3" s="36">
        <f t="shared" ref="N3:N21" si="4">L3*H3</f>
        <v>186480</v>
      </c>
      <c r="O3" s="36">
        <f>I3*Assumptions!B3*Assumptions!B2</f>
        <v>83321.767649999994</v>
      </c>
      <c r="P3" s="36">
        <f>I3*Assumptions!B7</f>
        <v>11800</v>
      </c>
      <c r="Q3" s="36">
        <f>Data!P3+Assumptions!B4+Assumptions!B5+Assumptions!B6</f>
        <v>67800</v>
      </c>
      <c r="R3" s="36">
        <f t="shared" ref="R3:R21" si="5">Q3+O3</f>
        <v>151121.76764999999</v>
      </c>
      <c r="S3" s="36">
        <f t="shared" ref="S3:S21" si="6">N3-R3</f>
        <v>35358.232350000006</v>
      </c>
      <c r="T3" s="35">
        <f t="shared" ref="T3:T21" si="7">(S3/N3)</f>
        <v>0.18960871058558562</v>
      </c>
      <c r="U3" s="34" t="s">
        <v>125</v>
      </c>
      <c r="V3" s="35">
        <f t="shared" ref="V3:V21" si="8">W3/(F3*H3)</f>
        <v>0.6658179411904761</v>
      </c>
      <c r="W3" s="37">
        <f>P3+I3*Assumptions!$B$3*Assumptions!$B$2*1.2+Assumptions!$B$4+Assumptions!$B$5+Assumptions!$B$6</f>
        <v>167786.12117999999</v>
      </c>
      <c r="X3" s="34" t="str">
        <f t="shared" ref="X3:X21" si="9">IF(G3&gt;=V3,"Viable","At Risk")</f>
        <v>Viable</v>
      </c>
      <c r="Y3" s="38" t="str">
        <f>IF(V3&gt;Assumptions!$B$12,"Structurally Weak","Potentially Viable")</f>
        <v>Potentially Viable</v>
      </c>
      <c r="Z3" s="4">
        <f>Assumptions!B$10</f>
        <v>0.08</v>
      </c>
      <c r="AA3" s="37">
        <f t="shared" ref="AA3:AA21" si="10">H3*(1+Z3)</f>
        <v>3888.0000000000005</v>
      </c>
      <c r="AB3" s="35">
        <f>MIN(Assumptions!B$12,G3*(1+Z3*Assumptions!B$11))</f>
        <v>0.66303999999999996</v>
      </c>
      <c r="AC3" s="6">
        <f t="shared" ref="AC3:AC21" si="11">F3*AB3</f>
        <v>46.412799999999997</v>
      </c>
      <c r="AD3" s="37">
        <f t="shared" ref="AD3:AD21" si="12">AC3*(AA3)</f>
        <v>180452.9664</v>
      </c>
      <c r="AE3" s="40">
        <f>AD3-(P3+I3*Assumptions!$B$3*Assumptions!$B$2*1.2+Assumptions!$B$4+Assumptions!$B$5+Assumptions!$B$6)</f>
        <v>12666.845220000017</v>
      </c>
      <c r="AF3" s="40">
        <f t="shared" ref="AF3:AF21" si="13">AE3*K3</f>
        <v>6586759.5144000091</v>
      </c>
      <c r="AG3" s="35">
        <f t="shared" ref="AG3:AG21" si="14">AE3/AD3</f>
        <v>7.0194718727549926E-2</v>
      </c>
      <c r="AH3" s="40">
        <f>'Scenario Analysis'!D3</f>
        <v>18693.878820000013</v>
      </c>
      <c r="AI3" s="46" t="str">
        <f t="shared" ref="AI3:AI21" si="15">IF(AND(AH3&lt;0,U3="N"),"Rationalize","Keep")</f>
        <v>Keep</v>
      </c>
      <c r="AJ3" s="40">
        <f t="shared" ref="AJ3:AJ21" si="16">IF(AI3="Rationalize",0,AH3)</f>
        <v>18693.878820000013</v>
      </c>
      <c r="AK3" s="40">
        <f t="shared" ref="AK3:AK21" si="17">AJ3*K3</f>
        <v>9720816.9864000063</v>
      </c>
      <c r="AL3" s="40">
        <f>IF(U3="Y",MIN(H3,Assumptions!$B$13*I3),0)</f>
        <v>0</v>
      </c>
      <c r="AM3" s="6">
        <f>IF(U3="Y",L3*Assumptions!$B$14,0)</f>
        <v>0</v>
      </c>
      <c r="AN3" s="6">
        <f>IF(U3="Y",L3*(1-Assumptions!$B$14),0)</f>
        <v>0</v>
      </c>
      <c r="AO3" s="40">
        <f>IF(U3="Y",AM3*AL3+AN3*H3+L3*Assumptions!$B$9,0)</f>
        <v>0</v>
      </c>
      <c r="AP3" s="47">
        <f>IF(U3="Y",O3*1.2*(1-Assumptions!$B$15),0)</f>
        <v>0</v>
      </c>
      <c r="AQ3" s="40">
        <f>IF(U3="Y",Assumptions!$B$5*(1-Assumptions!$B$16),0)</f>
        <v>0</v>
      </c>
      <c r="AR3" s="40">
        <f>IF(U3="Y",AM3*Assumptions!$B$17,0)</f>
        <v>0</v>
      </c>
      <c r="AS3" s="48">
        <f>IF(U3="Y",AP3+P3+Assumptions!$B$4+AQ3+Assumptions!$B$6,0)</f>
        <v>0</v>
      </c>
      <c r="AT3" s="47">
        <f t="shared" ref="AT3:AT21" si="18">IF(U3="Y",AO3+AR3-AS3,0)</f>
        <v>0</v>
      </c>
      <c r="AU3" s="47">
        <f t="shared" ref="AU3:AU21" si="19">AT3*K3</f>
        <v>0</v>
      </c>
      <c r="AV3" s="35">
        <f t="shared" ref="AV3:AV21" si="20">IFERROR(AT3/(AO3+AR3),0)</f>
        <v>0</v>
      </c>
      <c r="AW3" s="49" t="str">
        <f>IF(U3="Y",IF(AT3&gt;=MAX(AH3,AE3,AT3),"UDAN",IF(AE3&gt;=AH3,"Fare Hike","Keep as-is")),IF(AJ3=0,"Rationalize",IF(AE3&gt;=AH3,"Fare Hike","Keep as it is")))</f>
        <v>Keep as it is</v>
      </c>
      <c r="AX3" s="47">
        <f t="shared" ref="AX3:AX21" si="21">IF(AW3="UDAN",AT3,IF(AW3="Fare Hike",AE3,IF(AW3="Rationalize",0,AH3)))</f>
        <v>18693.878820000013</v>
      </c>
      <c r="AY3" s="47">
        <f t="shared" ref="AY3:AY21" si="22">AX3*K3</f>
        <v>9720816.9864000063</v>
      </c>
      <c r="AZ3" s="48">
        <f t="shared" ref="AZ3:AZ21" si="23">AX3-AH3</f>
        <v>0</v>
      </c>
    </row>
    <row r="4" spans="1:52" x14ac:dyDescent="0.35">
      <c r="A4" s="2" t="s">
        <v>3</v>
      </c>
      <c r="B4" s="2" t="s">
        <v>26</v>
      </c>
      <c r="C4" s="2" t="s">
        <v>27</v>
      </c>
      <c r="D4">
        <v>585</v>
      </c>
      <c r="E4" s="2">
        <v>7</v>
      </c>
      <c r="F4" s="2">
        <v>70</v>
      </c>
      <c r="G4" s="4">
        <v>0.6</v>
      </c>
      <c r="H4" s="36">
        <v>3900</v>
      </c>
      <c r="I4" s="2">
        <f t="shared" si="0"/>
        <v>1.17</v>
      </c>
      <c r="J4" s="2">
        <v>500</v>
      </c>
      <c r="K4" s="2">
        <f t="shared" si="1"/>
        <v>364</v>
      </c>
      <c r="L4" s="6">
        <f t="shared" si="2"/>
        <v>42</v>
      </c>
      <c r="M4" s="2">
        <f t="shared" si="3"/>
        <v>40950</v>
      </c>
      <c r="N4" s="36">
        <f t="shared" si="4"/>
        <v>163800</v>
      </c>
      <c r="O4" s="36">
        <f>I4*Assumptions!B3*Assumptions!B2</f>
        <v>82615.650974999997</v>
      </c>
      <c r="P4" s="36">
        <f>I4*Assumptions!B7</f>
        <v>11700</v>
      </c>
      <c r="Q4" s="36">
        <f>Data!P4+Assumptions!B4+Assumptions!B5+Assumptions!B6</f>
        <v>67700</v>
      </c>
      <c r="R4" s="36">
        <f t="shared" si="5"/>
        <v>150315.650975</v>
      </c>
      <c r="S4" s="36">
        <f t="shared" si="6"/>
        <v>13484.349025000003</v>
      </c>
      <c r="T4" s="35">
        <f t="shared" si="7"/>
        <v>8.2322033119658133E-2</v>
      </c>
      <c r="U4" s="34" t="s">
        <v>125</v>
      </c>
      <c r="V4" s="35">
        <f t="shared" si="8"/>
        <v>0.6111310665567764</v>
      </c>
      <c r="W4" s="37">
        <f>P4+I4*Assumptions!$B$3*Assumptions!$B$2*1.2+Assumptions!$B$4+Assumptions!$B$5+Assumptions!$B$6</f>
        <v>166838.78116999997</v>
      </c>
      <c r="X4" s="34" t="str">
        <f t="shared" si="9"/>
        <v>At Risk</v>
      </c>
      <c r="Y4" s="38" t="str">
        <f>IF(V4&gt;Assumptions!$B$12,"Structurally Weak","Potentially Viable")</f>
        <v>Potentially Viable</v>
      </c>
      <c r="Z4" s="4">
        <f>Assumptions!B$10</f>
        <v>0.08</v>
      </c>
      <c r="AA4" s="37">
        <f t="shared" si="10"/>
        <v>4212</v>
      </c>
      <c r="AB4" s="35">
        <f>MIN(Assumptions!B$12,G4*(1+Z4*Assumptions!B$11))</f>
        <v>0.53759999999999997</v>
      </c>
      <c r="AC4" s="6">
        <f t="shared" si="11"/>
        <v>37.631999999999998</v>
      </c>
      <c r="AD4" s="37">
        <f t="shared" si="12"/>
        <v>158505.984</v>
      </c>
      <c r="AE4" s="40">
        <f>AD4-(P4+I4*Assumptions!$B$3*Assumptions!$B$2*1.2+Assumptions!$B$4+Assumptions!$B$5+Assumptions!$B$6)</f>
        <v>-8332.7971699999762</v>
      </c>
      <c r="AF4" s="40">
        <f t="shared" si="13"/>
        <v>-3033138.1698799916</v>
      </c>
      <c r="AG4" s="35">
        <f t="shared" si="14"/>
        <v>-5.2570868050003564E-2</v>
      </c>
      <c r="AH4" s="40">
        <f>'Scenario Analysis'!D4</f>
        <v>-3038.7811699999729</v>
      </c>
      <c r="AI4" s="46" t="str">
        <f t="shared" si="15"/>
        <v>Rationalize</v>
      </c>
      <c r="AJ4" s="40">
        <f t="shared" si="16"/>
        <v>0</v>
      </c>
      <c r="AK4" s="40">
        <f t="shared" si="17"/>
        <v>0</v>
      </c>
      <c r="AL4" s="40">
        <f>IF(U4="Y",MIN(H4,Assumptions!$B$13*I4),0)</f>
        <v>0</v>
      </c>
      <c r="AM4" s="6">
        <f>IF(U4="Y",L4*Assumptions!$B$14,0)</f>
        <v>0</v>
      </c>
      <c r="AN4" s="6">
        <f>IF(U4="Y",L4*(1-Assumptions!$B$14),0)</f>
        <v>0</v>
      </c>
      <c r="AO4" s="40">
        <f>IF(U4="Y",AM4*AL4+AN4*H4+L4*Assumptions!$B$9,0)</f>
        <v>0</v>
      </c>
      <c r="AP4" s="47">
        <f>IF(U4="Y",O4*1.2*(1-Assumptions!$B$15),0)</f>
        <v>0</v>
      </c>
      <c r="AQ4" s="40">
        <f>IF(U4="Y",Assumptions!$B$5*(1-Assumptions!$B$16),0)</f>
        <v>0</v>
      </c>
      <c r="AR4" s="40">
        <f>IF(U4="Y",AM4*Assumptions!$B$17,0)</f>
        <v>0</v>
      </c>
      <c r="AS4" s="48">
        <f>IF(U4="Y",AP4+P4+Assumptions!$B$4+AQ4+Assumptions!$B$6,0)</f>
        <v>0</v>
      </c>
      <c r="AT4" s="47">
        <f t="shared" si="18"/>
        <v>0</v>
      </c>
      <c r="AU4" s="47">
        <f t="shared" si="19"/>
        <v>0</v>
      </c>
      <c r="AV4" s="35">
        <f t="shared" si="20"/>
        <v>0</v>
      </c>
      <c r="AW4" s="49" t="str">
        <f t="shared" ref="AW4:AW21" si="24">IF(U4="Y",IF(AT4&gt;=MAX(AH4,AE4,AT4),"UDAN",IF(AE4&gt;=AH4,"Fare Hike","Keep as-is")),IF(AJ4=0,"Rationalize",IF(AE4&gt;=AH4,"Fare Hike","Keep as it is")))</f>
        <v>Rationalize</v>
      </c>
      <c r="AX4" s="47">
        <f t="shared" si="21"/>
        <v>0</v>
      </c>
      <c r="AY4" s="47">
        <f t="shared" si="22"/>
        <v>0</v>
      </c>
      <c r="AZ4" s="48">
        <f t="shared" si="23"/>
        <v>3038.7811699999729</v>
      </c>
    </row>
    <row r="5" spans="1:52" x14ac:dyDescent="0.35">
      <c r="A5" s="2" t="s">
        <v>4</v>
      </c>
      <c r="B5" s="2" t="s">
        <v>28</v>
      </c>
      <c r="C5" s="2" t="s">
        <v>29</v>
      </c>
      <c r="D5">
        <v>375</v>
      </c>
      <c r="E5" s="2">
        <v>12</v>
      </c>
      <c r="F5" s="2">
        <v>70</v>
      </c>
      <c r="G5" s="4">
        <v>0.76</v>
      </c>
      <c r="H5" s="36">
        <v>2800</v>
      </c>
      <c r="I5" s="2">
        <f t="shared" si="0"/>
        <v>0.75</v>
      </c>
      <c r="J5" s="2">
        <v>500</v>
      </c>
      <c r="K5" s="2">
        <f t="shared" si="1"/>
        <v>624</v>
      </c>
      <c r="L5" s="6">
        <f t="shared" si="2"/>
        <v>53.2</v>
      </c>
      <c r="M5" s="2">
        <f t="shared" si="3"/>
        <v>26250</v>
      </c>
      <c r="N5" s="36">
        <f t="shared" si="4"/>
        <v>148960</v>
      </c>
      <c r="O5" s="36">
        <f>I5*Assumptions!B3*Assumptions!B2</f>
        <v>52958.750625000001</v>
      </c>
      <c r="P5" s="36">
        <f>I5*Assumptions!B7</f>
        <v>7500</v>
      </c>
      <c r="Q5" s="36">
        <f>Data!P5+Assumptions!B4+Assumptions!B5+Assumptions!B6</f>
        <v>63500</v>
      </c>
      <c r="R5" s="36">
        <f t="shared" si="5"/>
        <v>116458.750625</v>
      </c>
      <c r="S5" s="36">
        <f t="shared" si="6"/>
        <v>32501.249374999999</v>
      </c>
      <c r="T5" s="35">
        <f t="shared" si="7"/>
        <v>0.21818776433270676</v>
      </c>
      <c r="U5" s="34" t="s">
        <v>125</v>
      </c>
      <c r="V5" s="35">
        <f t="shared" si="8"/>
        <v>0.64821684056122453</v>
      </c>
      <c r="W5" s="37">
        <f>P5+I5*Assumptions!$B$3*Assumptions!$B$2*1.2+Assumptions!$B$4+Assumptions!$B$5+Assumptions!$B$6</f>
        <v>127050.50075000001</v>
      </c>
      <c r="X5" s="34" t="str">
        <f t="shared" si="9"/>
        <v>Viable</v>
      </c>
      <c r="Y5" s="38" t="str">
        <f>IF(V5&gt;Assumptions!$B$12,"Structurally Weak","Potentially Viable")</f>
        <v>Potentially Viable</v>
      </c>
      <c r="Z5" s="4">
        <f>Assumptions!B$10</f>
        <v>0.08</v>
      </c>
      <c r="AA5" s="37">
        <f t="shared" si="10"/>
        <v>3024</v>
      </c>
      <c r="AB5" s="35">
        <f>MIN(Assumptions!B$12,G5*(1+Z5*Assumptions!B$11))</f>
        <v>0.68096000000000001</v>
      </c>
      <c r="AC5" s="6">
        <f t="shared" si="11"/>
        <v>47.667200000000001</v>
      </c>
      <c r="AD5" s="37">
        <f t="shared" si="12"/>
        <v>144145.6128</v>
      </c>
      <c r="AE5" s="40">
        <f>AD5-(P5+I5*Assumptions!$B$3*Assumptions!$B$2*1.2+Assumptions!$B$4+Assumptions!$B$5+Assumptions!$B$6)</f>
        <v>17095.112049999996</v>
      </c>
      <c r="AF5" s="40">
        <f t="shared" si="13"/>
        <v>10667349.919199998</v>
      </c>
      <c r="AG5" s="35">
        <f t="shared" si="14"/>
        <v>0.1185961314946104</v>
      </c>
      <c r="AH5" s="40">
        <f>'Scenario Analysis'!D5</f>
        <v>21909.499249999993</v>
      </c>
      <c r="AI5" s="46" t="str">
        <f t="shared" si="15"/>
        <v>Keep</v>
      </c>
      <c r="AJ5" s="40">
        <f t="shared" si="16"/>
        <v>21909.499249999993</v>
      </c>
      <c r="AK5" s="40">
        <f t="shared" si="17"/>
        <v>13671527.531999996</v>
      </c>
      <c r="AL5" s="40">
        <f>IF(U5="Y",MIN(H5,Assumptions!$B$13*I5),0)</f>
        <v>0</v>
      </c>
      <c r="AM5" s="6">
        <f>IF(U5="Y",L5*Assumptions!$B$14,0)</f>
        <v>0</v>
      </c>
      <c r="AN5" s="6">
        <f>IF(U5="Y",L5*(1-Assumptions!$B$14),0)</f>
        <v>0</v>
      </c>
      <c r="AO5" s="40">
        <f>IF(U5="Y",AM5*AL5+AN5*H5+L5*Assumptions!$B$9,0)</f>
        <v>0</v>
      </c>
      <c r="AP5" s="47">
        <f>IF(U5="Y",O5*1.2*(1-Assumptions!$B$15),0)</f>
        <v>0</v>
      </c>
      <c r="AQ5" s="40">
        <f>IF(U5="Y",Assumptions!$B$5*(1-Assumptions!$B$16),0)</f>
        <v>0</v>
      </c>
      <c r="AR5" s="40">
        <f>IF(U5="Y",AM5*Assumptions!$B$17,0)</f>
        <v>0</v>
      </c>
      <c r="AS5" s="48">
        <f>IF(U5="Y",AP5+P5+Assumptions!$B$4+AQ5+Assumptions!$B$6,0)</f>
        <v>0</v>
      </c>
      <c r="AT5" s="47">
        <f t="shared" si="18"/>
        <v>0</v>
      </c>
      <c r="AU5" s="47">
        <f t="shared" si="19"/>
        <v>0</v>
      </c>
      <c r="AV5" s="35">
        <f t="shared" si="20"/>
        <v>0</v>
      </c>
      <c r="AW5" s="49" t="str">
        <f t="shared" si="24"/>
        <v>Keep as it is</v>
      </c>
      <c r="AX5" s="47">
        <f t="shared" si="21"/>
        <v>21909.499249999993</v>
      </c>
      <c r="AY5" s="47">
        <f t="shared" si="22"/>
        <v>13671527.531999996</v>
      </c>
      <c r="AZ5" s="48">
        <f t="shared" si="23"/>
        <v>0</v>
      </c>
    </row>
    <row r="6" spans="1:52" x14ac:dyDescent="0.35">
      <c r="A6" s="2" t="s">
        <v>5</v>
      </c>
      <c r="B6" s="2" t="s">
        <v>30</v>
      </c>
      <c r="C6" s="2" t="s">
        <v>31</v>
      </c>
      <c r="D6">
        <v>400</v>
      </c>
      <c r="E6" s="2">
        <v>10</v>
      </c>
      <c r="F6" s="2">
        <v>70</v>
      </c>
      <c r="G6" s="4">
        <v>0.71</v>
      </c>
      <c r="H6" s="36">
        <v>3100</v>
      </c>
      <c r="I6" s="2">
        <f t="shared" si="0"/>
        <v>0.8</v>
      </c>
      <c r="J6" s="2">
        <v>500</v>
      </c>
      <c r="K6" s="2">
        <f t="shared" si="1"/>
        <v>520</v>
      </c>
      <c r="L6" s="6">
        <f t="shared" si="2"/>
        <v>49.699999999999996</v>
      </c>
      <c r="M6" s="2">
        <f t="shared" si="3"/>
        <v>28000</v>
      </c>
      <c r="N6" s="36">
        <f t="shared" si="4"/>
        <v>154070</v>
      </c>
      <c r="O6" s="36">
        <f>I6*Assumptions!B3*Assumptions!B2</f>
        <v>56489.334000000003</v>
      </c>
      <c r="P6" s="36">
        <f>I6*Assumptions!B7</f>
        <v>8000</v>
      </c>
      <c r="Q6" s="36">
        <f>Data!P6+Assumptions!B4+Assumptions!B5+Assumptions!B6</f>
        <v>64000</v>
      </c>
      <c r="R6" s="36">
        <f t="shared" si="5"/>
        <v>120489.334</v>
      </c>
      <c r="S6" s="36">
        <f t="shared" si="6"/>
        <v>33580.665999999997</v>
      </c>
      <c r="T6" s="35">
        <f t="shared" si="7"/>
        <v>0.21795720127214901</v>
      </c>
      <c r="U6" s="34" t="s">
        <v>124</v>
      </c>
      <c r="V6" s="35">
        <f t="shared" si="8"/>
        <v>0.60731428940092158</v>
      </c>
      <c r="W6" s="37">
        <f>P6+I6*Assumptions!$B$3*Assumptions!$B$2*1.2+Assumptions!$B$4+Assumptions!$B$5+Assumptions!$B$6</f>
        <v>131787.20079999999</v>
      </c>
      <c r="X6" s="34" t="str">
        <f t="shared" si="9"/>
        <v>Viable</v>
      </c>
      <c r="Y6" s="38" t="str">
        <f>IF(V6&gt;Assumptions!$B$12,"Structurally Weak","Potentially Viable")</f>
        <v>Potentially Viable</v>
      </c>
      <c r="Z6" s="4">
        <f>Assumptions!B$10</f>
        <v>0.08</v>
      </c>
      <c r="AA6" s="37">
        <f t="shared" si="10"/>
        <v>3348</v>
      </c>
      <c r="AB6" s="35">
        <f>MIN(Assumptions!B$12,G6*(1+Z6*Assumptions!B$11))</f>
        <v>0.63615999999999995</v>
      </c>
      <c r="AC6" s="6">
        <f t="shared" si="11"/>
        <v>44.531199999999998</v>
      </c>
      <c r="AD6" s="37">
        <f t="shared" si="12"/>
        <v>149090.45759999999</v>
      </c>
      <c r="AE6" s="40">
        <f>AD6-(P6+I6*Assumptions!$B$3*Assumptions!$B$2*1.2+Assumptions!$B$4+Assumptions!$B$5+Assumptions!$B$6)</f>
        <v>17303.256800000003</v>
      </c>
      <c r="AF6" s="40">
        <f t="shared" si="13"/>
        <v>8997693.5360000022</v>
      </c>
      <c r="AG6" s="35">
        <f t="shared" si="14"/>
        <v>0.11605878121605553</v>
      </c>
      <c r="AH6" s="40">
        <f>'Scenario Analysis'!D6</f>
        <v>22282.799200000009</v>
      </c>
      <c r="AI6" s="46" t="str">
        <f t="shared" si="15"/>
        <v>Keep</v>
      </c>
      <c r="AJ6" s="40">
        <f t="shared" si="16"/>
        <v>22282.799200000009</v>
      </c>
      <c r="AK6" s="40">
        <f t="shared" si="17"/>
        <v>11587055.584000004</v>
      </c>
      <c r="AL6" s="40">
        <f>IF(U6="Y",MIN(H6,Assumptions!$B$13*I6),0)</f>
        <v>2000</v>
      </c>
      <c r="AM6" s="6">
        <f>IF(U6="Y",L6*Assumptions!$B$14,0)</f>
        <v>24.849999999999998</v>
      </c>
      <c r="AN6" s="6">
        <f>IF(U6="Y",L6*(1-Assumptions!$B$14),0)</f>
        <v>24.849999999999998</v>
      </c>
      <c r="AO6" s="40">
        <f>IF(U6="Y",AM6*AL6+AN6*H6+L6*Assumptions!$B$9,0)</f>
        <v>144130</v>
      </c>
      <c r="AP6" s="47">
        <f>IF(U6="Y",O6*1.2*(1-Assumptions!$B$15),0)</f>
        <v>57619.12068</v>
      </c>
      <c r="AQ6" s="40">
        <f>IF(U6="Y",Assumptions!$B$5*(1-Assumptions!$B$16),0)</f>
        <v>8400</v>
      </c>
      <c r="AR6" s="40">
        <f>IF(U6="Y",AM6*Assumptions!$B$17,0)</f>
        <v>37275</v>
      </c>
      <c r="AS6" s="48">
        <f>IF(U6="Y",AP6+P6+Assumptions!$B$4+AQ6+Assumptions!$B$6,0)</f>
        <v>116019.12067999999</v>
      </c>
      <c r="AT6" s="47">
        <f t="shared" si="18"/>
        <v>65385.879320000007</v>
      </c>
      <c r="AU6" s="47">
        <f t="shared" si="19"/>
        <v>34000657.246400006</v>
      </c>
      <c r="AV6" s="35">
        <f t="shared" si="20"/>
        <v>0.36044143943110724</v>
      </c>
      <c r="AW6" s="49" t="str">
        <f t="shared" si="24"/>
        <v>UDAN</v>
      </c>
      <c r="AX6" s="47">
        <f t="shared" si="21"/>
        <v>65385.879320000007</v>
      </c>
      <c r="AY6" s="47">
        <f t="shared" si="22"/>
        <v>34000657.246400006</v>
      </c>
      <c r="AZ6" s="48">
        <f t="shared" si="23"/>
        <v>43103.080119999999</v>
      </c>
    </row>
    <row r="7" spans="1:52" x14ac:dyDescent="0.35">
      <c r="A7" s="2" t="s">
        <v>6</v>
      </c>
      <c r="B7" s="2" t="s">
        <v>32</v>
      </c>
      <c r="C7" s="2" t="s">
        <v>24</v>
      </c>
      <c r="D7">
        <v>660</v>
      </c>
      <c r="E7" s="2">
        <v>9</v>
      </c>
      <c r="F7" s="2">
        <v>70</v>
      </c>
      <c r="G7" s="4">
        <v>0.69</v>
      </c>
      <c r="H7" s="36">
        <v>3800</v>
      </c>
      <c r="I7" s="2">
        <f t="shared" si="0"/>
        <v>1.32</v>
      </c>
      <c r="J7" s="2">
        <v>500</v>
      </c>
      <c r="K7" s="2">
        <f t="shared" si="1"/>
        <v>468</v>
      </c>
      <c r="L7" s="6">
        <f t="shared" si="2"/>
        <v>48.3</v>
      </c>
      <c r="M7" s="2">
        <f t="shared" si="3"/>
        <v>46200</v>
      </c>
      <c r="N7" s="36">
        <f t="shared" si="4"/>
        <v>183540</v>
      </c>
      <c r="O7" s="36">
        <f>I7*Assumptions!B3*Assumptions!B2</f>
        <v>93207.401100000017</v>
      </c>
      <c r="P7" s="36">
        <f>I7*Assumptions!B7</f>
        <v>13200</v>
      </c>
      <c r="Q7" s="36">
        <f>Data!P7+Assumptions!B4+Assumptions!B5+Assumptions!B6</f>
        <v>69200</v>
      </c>
      <c r="R7" s="36">
        <f t="shared" si="5"/>
        <v>162407.40110000002</v>
      </c>
      <c r="S7" s="36">
        <f t="shared" si="6"/>
        <v>21132.598899999983</v>
      </c>
      <c r="T7" s="35">
        <f t="shared" si="7"/>
        <v>0.11513892829900829</v>
      </c>
      <c r="U7" s="34" t="s">
        <v>125</v>
      </c>
      <c r="V7" s="35">
        <f t="shared" si="8"/>
        <v>0.68063489218045115</v>
      </c>
      <c r="W7" s="37">
        <f>P7+I7*Assumptions!$B$3*Assumptions!$B$2*1.2+Assumptions!$B$4+Assumptions!$B$5+Assumptions!$B$6</f>
        <v>181048.88132000001</v>
      </c>
      <c r="X7" s="34" t="str">
        <f t="shared" si="9"/>
        <v>Viable</v>
      </c>
      <c r="Y7" s="38" t="str">
        <f>IF(V7&gt;Assumptions!$B$12,"Structurally Weak","Potentially Viable")</f>
        <v>Potentially Viable</v>
      </c>
      <c r="Z7" s="4">
        <f>Assumptions!B$10</f>
        <v>0.08</v>
      </c>
      <c r="AA7" s="37">
        <f t="shared" si="10"/>
        <v>4104</v>
      </c>
      <c r="AB7" s="35">
        <f>MIN(Assumptions!B$12,G7*(1+Z7*Assumptions!B$11))</f>
        <v>0.61824000000000001</v>
      </c>
      <c r="AC7" s="6">
        <f t="shared" si="11"/>
        <v>43.276800000000001</v>
      </c>
      <c r="AD7" s="37">
        <f t="shared" si="12"/>
        <v>177607.9872</v>
      </c>
      <c r="AE7" s="40">
        <f>AD7-(P7+I7*Assumptions!$B$3*Assumptions!$B$2*1.2+Assumptions!$B$4+Assumptions!$B$5+Assumptions!$B$6)</f>
        <v>-3440.8941200000118</v>
      </c>
      <c r="AF7" s="40">
        <f t="shared" si="13"/>
        <v>-1610338.4481600055</v>
      </c>
      <c r="AG7" s="35">
        <f t="shared" si="14"/>
        <v>-1.9373532543473425E-2</v>
      </c>
      <c r="AH7" s="40">
        <f>'Scenario Analysis'!D7</f>
        <v>2491.118679999985</v>
      </c>
      <c r="AI7" s="46" t="str">
        <f t="shared" si="15"/>
        <v>Keep</v>
      </c>
      <c r="AJ7" s="40">
        <f t="shared" si="16"/>
        <v>2491.118679999985</v>
      </c>
      <c r="AK7" s="40">
        <f t="shared" si="17"/>
        <v>1165843.5422399929</v>
      </c>
      <c r="AL7" s="40">
        <f>IF(U7="Y",MIN(H7,Assumptions!$B$13*I7),0)</f>
        <v>0</v>
      </c>
      <c r="AM7" s="6">
        <f>IF(U7="Y",L7*Assumptions!$B$14,0)</f>
        <v>0</v>
      </c>
      <c r="AN7" s="6">
        <f>IF(U7="Y",L7*(1-Assumptions!$B$14),0)</f>
        <v>0</v>
      </c>
      <c r="AO7" s="40">
        <f>IF(U7="Y",AM7*AL7+AN7*H7+L7*Assumptions!$B$9,0)</f>
        <v>0</v>
      </c>
      <c r="AP7" s="47">
        <f>IF(U7="Y",O7*1.2*(1-Assumptions!$B$15),0)</f>
        <v>0</v>
      </c>
      <c r="AQ7" s="40">
        <f>IF(U7="Y",Assumptions!$B$5*(1-Assumptions!$B$16),0)</f>
        <v>0</v>
      </c>
      <c r="AR7" s="40">
        <f>IF(U7="Y",AM7*Assumptions!$B$17,0)</f>
        <v>0</v>
      </c>
      <c r="AS7" s="48">
        <f>IF(U7="Y",AP7+P7+Assumptions!$B$4+AQ7+Assumptions!$B$6,0)</f>
        <v>0</v>
      </c>
      <c r="AT7" s="47">
        <f t="shared" si="18"/>
        <v>0</v>
      </c>
      <c r="AU7" s="47">
        <f t="shared" si="19"/>
        <v>0</v>
      </c>
      <c r="AV7" s="35">
        <f t="shared" si="20"/>
        <v>0</v>
      </c>
      <c r="AW7" s="49" t="str">
        <f t="shared" si="24"/>
        <v>Keep as it is</v>
      </c>
      <c r="AX7" s="47">
        <f t="shared" si="21"/>
        <v>2491.118679999985</v>
      </c>
      <c r="AY7" s="47">
        <f t="shared" si="22"/>
        <v>1165843.5422399929</v>
      </c>
      <c r="AZ7" s="48">
        <f t="shared" si="23"/>
        <v>0</v>
      </c>
    </row>
    <row r="8" spans="1:52" x14ac:dyDescent="0.35">
      <c r="A8" s="2" t="s">
        <v>7</v>
      </c>
      <c r="B8" s="2" t="s">
        <v>33</v>
      </c>
      <c r="C8" s="2" t="s">
        <v>24</v>
      </c>
      <c r="D8">
        <v>700</v>
      </c>
      <c r="E8" s="2">
        <v>5</v>
      </c>
      <c r="F8" s="2">
        <v>70</v>
      </c>
      <c r="G8" s="4">
        <v>0.62</v>
      </c>
      <c r="H8" s="36">
        <v>4200</v>
      </c>
      <c r="I8" s="2">
        <f t="shared" si="0"/>
        <v>1.4</v>
      </c>
      <c r="J8" s="2">
        <v>500</v>
      </c>
      <c r="K8" s="2">
        <f t="shared" si="1"/>
        <v>260</v>
      </c>
      <c r="L8" s="6">
        <f t="shared" si="2"/>
        <v>43.4</v>
      </c>
      <c r="M8" s="2">
        <f t="shared" si="3"/>
        <v>49000</v>
      </c>
      <c r="N8" s="36">
        <f t="shared" si="4"/>
        <v>182280</v>
      </c>
      <c r="O8" s="36">
        <f>I8*Assumptions!B3*Assumptions!B2</f>
        <v>98856.334499999997</v>
      </c>
      <c r="P8" s="36">
        <f>I8*Assumptions!B7</f>
        <v>14000</v>
      </c>
      <c r="Q8" s="36">
        <f>Data!P8+Assumptions!B4+Assumptions!B5+Assumptions!B6</f>
        <v>70000</v>
      </c>
      <c r="R8" s="36">
        <f t="shared" si="5"/>
        <v>168856.3345</v>
      </c>
      <c r="S8" s="36">
        <f t="shared" si="6"/>
        <v>13423.665500000003</v>
      </c>
      <c r="T8" s="35">
        <f t="shared" si="7"/>
        <v>7.364310675883258E-2</v>
      </c>
      <c r="U8" s="34" t="s">
        <v>124</v>
      </c>
      <c r="V8" s="35">
        <f t="shared" si="8"/>
        <v>0.64159048095238091</v>
      </c>
      <c r="W8" s="37">
        <f>P8+I8*Assumptions!$B$3*Assumptions!$B$2*1.2+Assumptions!$B$4+Assumptions!$B$5+Assumptions!$B$6</f>
        <v>188627.60139999999</v>
      </c>
      <c r="X8" s="34" t="str">
        <f t="shared" si="9"/>
        <v>At Risk</v>
      </c>
      <c r="Y8" s="38" t="str">
        <f>IF(V8&gt;Assumptions!$B$12,"Structurally Weak","Potentially Viable")</f>
        <v>Potentially Viable</v>
      </c>
      <c r="Z8" s="4">
        <f>Assumptions!B$10</f>
        <v>0.08</v>
      </c>
      <c r="AA8" s="37">
        <f t="shared" si="10"/>
        <v>4536</v>
      </c>
      <c r="AB8" s="35">
        <f>MIN(Assumptions!B$12,G8*(1+Z8*Assumptions!B$11))</f>
        <v>0.55552000000000001</v>
      </c>
      <c r="AC8" s="6">
        <f t="shared" si="11"/>
        <v>38.886400000000002</v>
      </c>
      <c r="AD8" s="37">
        <f t="shared" si="12"/>
        <v>176388.71040000001</v>
      </c>
      <c r="AE8" s="40">
        <f>AD8-(P8+I8*Assumptions!$B$3*Assumptions!$B$2*1.2+Assumptions!$B$4+Assumptions!$B$5+Assumptions!$B$6)</f>
        <v>-12238.890999999974</v>
      </c>
      <c r="AF8" s="40">
        <f t="shared" si="13"/>
        <v>-3182111.6599999932</v>
      </c>
      <c r="AG8" s="35">
        <f t="shared" si="14"/>
        <v>-6.9385908952141043E-2</v>
      </c>
      <c r="AH8" s="40">
        <f>'Scenario Analysis'!D8</f>
        <v>-6347.601399999985</v>
      </c>
      <c r="AI8" s="46" t="str">
        <f t="shared" si="15"/>
        <v>Keep</v>
      </c>
      <c r="AJ8" s="40">
        <f t="shared" si="16"/>
        <v>-6347.601399999985</v>
      </c>
      <c r="AK8" s="40">
        <f t="shared" si="17"/>
        <v>-1650376.3639999961</v>
      </c>
      <c r="AL8" s="40">
        <f>IF(U8="Y",MIN(H8,Assumptions!$B$13*I8),0)</f>
        <v>3500</v>
      </c>
      <c r="AM8" s="6">
        <f>IF(U8="Y",L8*Assumptions!$B$14,0)</f>
        <v>21.7</v>
      </c>
      <c r="AN8" s="6">
        <f>IF(U8="Y",L8*(1-Assumptions!$B$14),0)</f>
        <v>21.7</v>
      </c>
      <c r="AO8" s="40">
        <f>IF(U8="Y",AM8*AL8+AN8*H8+L8*Assumptions!$B$9,0)</f>
        <v>182280</v>
      </c>
      <c r="AP8" s="47">
        <f>IF(U8="Y",O8*1.2*(1-Assumptions!$B$15),0)</f>
        <v>100833.46118999999</v>
      </c>
      <c r="AQ8" s="40">
        <f>IF(U8="Y",Assumptions!$B$5*(1-Assumptions!$B$16),0)</f>
        <v>8400</v>
      </c>
      <c r="AR8" s="40">
        <f>IF(U8="Y",AM8*Assumptions!$B$17,0)</f>
        <v>32550</v>
      </c>
      <c r="AS8" s="48">
        <f>IF(U8="Y",AP8+P8+Assumptions!$B$4+AQ8+Assumptions!$B$6,0)</f>
        <v>165233.46119</v>
      </c>
      <c r="AT8" s="47">
        <f t="shared" si="18"/>
        <v>49596.538809999998</v>
      </c>
      <c r="AU8" s="47">
        <f t="shared" si="19"/>
        <v>12895100.090599999</v>
      </c>
      <c r="AV8" s="35">
        <f t="shared" si="20"/>
        <v>0.23086411958292602</v>
      </c>
      <c r="AW8" s="49" t="str">
        <f t="shared" si="24"/>
        <v>UDAN</v>
      </c>
      <c r="AX8" s="47">
        <f t="shared" si="21"/>
        <v>49596.538809999998</v>
      </c>
      <c r="AY8" s="47">
        <f t="shared" si="22"/>
        <v>12895100.090599999</v>
      </c>
      <c r="AZ8" s="48">
        <f t="shared" si="23"/>
        <v>55944.140209999983</v>
      </c>
    </row>
    <row r="9" spans="1:52" ht="17" customHeight="1" x14ac:dyDescent="0.35">
      <c r="A9" s="2" t="s">
        <v>8</v>
      </c>
      <c r="B9" s="2" t="s">
        <v>34</v>
      </c>
      <c r="C9" s="2" t="s">
        <v>27</v>
      </c>
      <c r="D9">
        <v>330</v>
      </c>
      <c r="E9" s="2">
        <v>11</v>
      </c>
      <c r="F9" s="2">
        <v>70</v>
      </c>
      <c r="G9" s="4">
        <v>0.73</v>
      </c>
      <c r="H9" s="36">
        <v>2600</v>
      </c>
      <c r="I9" s="2">
        <f t="shared" si="0"/>
        <v>0.66</v>
      </c>
      <c r="J9" s="2">
        <v>500</v>
      </c>
      <c r="K9" s="2">
        <f t="shared" si="1"/>
        <v>572</v>
      </c>
      <c r="L9" s="6">
        <f t="shared" si="2"/>
        <v>51.1</v>
      </c>
      <c r="M9" s="2">
        <f t="shared" si="3"/>
        <v>23100</v>
      </c>
      <c r="N9" s="36">
        <f t="shared" si="4"/>
        <v>132860</v>
      </c>
      <c r="O9" s="36">
        <f>I9*Assumptions!B3*Assumptions!B2</f>
        <v>46603.700550000009</v>
      </c>
      <c r="P9" s="36">
        <f>I9*Assumptions!B7</f>
        <v>6600</v>
      </c>
      <c r="Q9" s="36">
        <f>Data!P9+Assumptions!B4+Assumptions!B5+Assumptions!B6</f>
        <v>62600</v>
      </c>
      <c r="R9" s="36">
        <f t="shared" si="5"/>
        <v>109203.70055000001</v>
      </c>
      <c r="S9" s="36">
        <f t="shared" si="6"/>
        <v>23656.299449999991</v>
      </c>
      <c r="T9" s="35">
        <f t="shared" si="7"/>
        <v>0.17805433877766064</v>
      </c>
      <c r="U9" s="34" t="s">
        <v>125</v>
      </c>
      <c r="V9" s="35">
        <f t="shared" si="8"/>
        <v>0.65123319043956052</v>
      </c>
      <c r="W9" s="37">
        <f>P9+I9*Assumptions!$B$3*Assumptions!$B$2*1.2+Assumptions!$B$4+Assumptions!$B$5+Assumptions!$B$6</f>
        <v>118524.44066000001</v>
      </c>
      <c r="X9" s="34" t="str">
        <f t="shared" si="9"/>
        <v>Viable</v>
      </c>
      <c r="Y9" s="38" t="str">
        <f>IF(V9&gt;Assumptions!$B$12,"Structurally Weak","Potentially Viable")</f>
        <v>Potentially Viable</v>
      </c>
      <c r="Z9" s="4">
        <f>Assumptions!B$10</f>
        <v>0.08</v>
      </c>
      <c r="AA9" s="37">
        <f t="shared" si="10"/>
        <v>2808</v>
      </c>
      <c r="AB9" s="35">
        <f>MIN(Assumptions!B$12,G9*(1+Z9*Assumptions!B$11))</f>
        <v>0.65407999999999999</v>
      </c>
      <c r="AC9" s="6">
        <f t="shared" si="11"/>
        <v>45.785600000000002</v>
      </c>
      <c r="AD9" s="37">
        <f t="shared" si="12"/>
        <v>128565.9648</v>
      </c>
      <c r="AE9" s="40">
        <f>AD9-(P9+I9*Assumptions!$B$3*Assumptions!$B$2*1.2+Assumptions!$B$4+Assumptions!$B$5+Assumptions!$B$6)</f>
        <v>10041.524139999994</v>
      </c>
      <c r="AF9" s="40">
        <f t="shared" si="13"/>
        <v>5743751.8080799971</v>
      </c>
      <c r="AG9" s="35">
        <f t="shared" si="14"/>
        <v>7.8104062421347722E-2</v>
      </c>
      <c r="AH9" s="40">
        <f>'Scenario Analysis'!D9</f>
        <v>14335.559339999993</v>
      </c>
      <c r="AI9" s="46" t="str">
        <f t="shared" si="15"/>
        <v>Keep</v>
      </c>
      <c r="AJ9" s="40">
        <f t="shared" si="16"/>
        <v>14335.559339999993</v>
      </c>
      <c r="AK9" s="40">
        <f t="shared" si="17"/>
        <v>8199939.942479996</v>
      </c>
      <c r="AL9" s="40">
        <f>IF(U9="Y",MIN(H9,Assumptions!$B$13*I9),0)</f>
        <v>0</v>
      </c>
      <c r="AM9" s="6">
        <f>IF(U9="Y",L9*Assumptions!$B$14,0)</f>
        <v>0</v>
      </c>
      <c r="AN9" s="6">
        <f>IF(U9="Y",L9*(1-Assumptions!$B$14),0)</f>
        <v>0</v>
      </c>
      <c r="AO9" s="40">
        <f>IF(U9="Y",AM9*AL9+AN9*H9+L9*Assumptions!$B$9,0)</f>
        <v>0</v>
      </c>
      <c r="AP9" s="47">
        <f>IF(U9="Y",O9*1.2*(1-Assumptions!$B$15),0)</f>
        <v>0</v>
      </c>
      <c r="AQ9" s="40">
        <f>IF(U9="Y",Assumptions!$B$5*(1-Assumptions!$B$16),0)</f>
        <v>0</v>
      </c>
      <c r="AR9" s="40">
        <f>IF(U9="Y",AM9*Assumptions!$B$17,0)</f>
        <v>0</v>
      </c>
      <c r="AS9" s="48">
        <f>IF(U9="Y",AP9+P9+Assumptions!$B$4+AQ9+Assumptions!$B$6,0)</f>
        <v>0</v>
      </c>
      <c r="AT9" s="47">
        <f t="shared" si="18"/>
        <v>0</v>
      </c>
      <c r="AU9" s="47">
        <f t="shared" si="19"/>
        <v>0</v>
      </c>
      <c r="AV9" s="35">
        <f t="shared" si="20"/>
        <v>0</v>
      </c>
      <c r="AW9" s="49" t="str">
        <f t="shared" si="24"/>
        <v>Keep as it is</v>
      </c>
      <c r="AX9" s="47">
        <f t="shared" si="21"/>
        <v>14335.559339999993</v>
      </c>
      <c r="AY9" s="47">
        <f t="shared" si="22"/>
        <v>8199939.942479996</v>
      </c>
      <c r="AZ9" s="48">
        <f t="shared" si="23"/>
        <v>0</v>
      </c>
    </row>
    <row r="10" spans="1:52" x14ac:dyDescent="0.35">
      <c r="A10" s="2" t="s">
        <v>9</v>
      </c>
      <c r="B10" s="2" t="s">
        <v>35</v>
      </c>
      <c r="C10" s="2" t="s">
        <v>36</v>
      </c>
      <c r="D10">
        <v>320</v>
      </c>
      <c r="E10" s="2">
        <v>7</v>
      </c>
      <c r="F10" s="2">
        <v>70</v>
      </c>
      <c r="G10" s="4">
        <v>0.67</v>
      </c>
      <c r="H10" s="36">
        <v>2500</v>
      </c>
      <c r="I10" s="2">
        <f t="shared" si="0"/>
        <v>0.64</v>
      </c>
      <c r="J10" s="2">
        <v>500</v>
      </c>
      <c r="K10" s="2">
        <f t="shared" si="1"/>
        <v>364</v>
      </c>
      <c r="L10" s="6">
        <f t="shared" si="2"/>
        <v>46.900000000000006</v>
      </c>
      <c r="M10" s="2">
        <f t="shared" si="3"/>
        <v>22400</v>
      </c>
      <c r="N10" s="36">
        <f t="shared" si="4"/>
        <v>117250.00000000001</v>
      </c>
      <c r="O10" s="36">
        <f>I10*Assumptions!B3*Assumptions!B2</f>
        <v>45191.467200000006</v>
      </c>
      <c r="P10" s="36">
        <f>I10*Assumptions!B7</f>
        <v>6400</v>
      </c>
      <c r="Q10" s="36">
        <f>Data!P10+Assumptions!B4+Assumptions!B5+Assumptions!B6</f>
        <v>62400</v>
      </c>
      <c r="R10" s="36">
        <f t="shared" si="5"/>
        <v>107591.46720000001</v>
      </c>
      <c r="S10" s="36">
        <f t="shared" si="6"/>
        <v>9658.5328000000009</v>
      </c>
      <c r="T10" s="35">
        <f t="shared" si="7"/>
        <v>8.2375546268656716E-2</v>
      </c>
      <c r="U10" s="34" t="s">
        <v>124</v>
      </c>
      <c r="V10" s="35">
        <f t="shared" si="8"/>
        <v>0.6664557750857143</v>
      </c>
      <c r="W10" s="37">
        <f>P10+I10*Assumptions!$B$3*Assumptions!$B$2*1.2+Assumptions!$B$4+Assumptions!$B$5+Assumptions!$B$6</f>
        <v>116629.76064000001</v>
      </c>
      <c r="X10" s="34" t="str">
        <f t="shared" si="9"/>
        <v>Viable</v>
      </c>
      <c r="Y10" s="38" t="str">
        <f>IF(V10&gt;Assumptions!$B$12,"Structurally Weak","Potentially Viable")</f>
        <v>Potentially Viable</v>
      </c>
      <c r="Z10" s="4">
        <f>Assumptions!B$10</f>
        <v>0.08</v>
      </c>
      <c r="AA10" s="37">
        <f t="shared" si="10"/>
        <v>2700</v>
      </c>
      <c r="AB10" s="35">
        <f>MIN(Assumptions!B$12,G10*(1+Z10*Assumptions!B$11))</f>
        <v>0.60032000000000008</v>
      </c>
      <c r="AC10" s="6">
        <f t="shared" si="11"/>
        <v>42.022400000000005</v>
      </c>
      <c r="AD10" s="37">
        <f t="shared" si="12"/>
        <v>113460.48000000001</v>
      </c>
      <c r="AE10" s="40">
        <f>AD10-(P10+I10*Assumptions!$B$3*Assumptions!$B$2*1.2+Assumptions!$B$4+Assumptions!$B$5+Assumptions!$B$6)</f>
        <v>-3169.2806399999972</v>
      </c>
      <c r="AF10" s="40">
        <f t="shared" si="13"/>
        <v>-1153618.1529599989</v>
      </c>
      <c r="AG10" s="35">
        <f t="shared" si="14"/>
        <v>-2.7932903509662543E-2</v>
      </c>
      <c r="AH10" s="40">
        <f>'Scenario Analysis'!D10</f>
        <v>620.23936000000685</v>
      </c>
      <c r="AI10" s="46" t="str">
        <f t="shared" si="15"/>
        <v>Keep</v>
      </c>
      <c r="AJ10" s="40">
        <f t="shared" si="16"/>
        <v>620.23936000000685</v>
      </c>
      <c r="AK10" s="40">
        <f t="shared" si="17"/>
        <v>225767.1270400025</v>
      </c>
      <c r="AL10" s="40">
        <f>IF(U10="Y",MIN(H10,Assumptions!$B$13*I10),0)</f>
        <v>1600</v>
      </c>
      <c r="AM10" s="6">
        <f>IF(U10="Y",L10*Assumptions!$B$14,0)</f>
        <v>23.450000000000003</v>
      </c>
      <c r="AN10" s="6">
        <f>IF(U10="Y",L10*(1-Assumptions!$B$14),0)</f>
        <v>23.450000000000003</v>
      </c>
      <c r="AO10" s="40">
        <f>IF(U10="Y",AM10*AL10+AN10*H10+L10*Assumptions!$B$9,0)</f>
        <v>112560.00000000001</v>
      </c>
      <c r="AP10" s="47">
        <f>IF(U10="Y",O10*1.2*(1-Assumptions!$B$15),0)</f>
        <v>46095.296544000004</v>
      </c>
      <c r="AQ10" s="40">
        <f>IF(U10="Y",Assumptions!$B$5*(1-Assumptions!$B$16),0)</f>
        <v>8400</v>
      </c>
      <c r="AR10" s="40">
        <f>IF(U10="Y",AM10*Assumptions!$B$17,0)</f>
        <v>35175.000000000007</v>
      </c>
      <c r="AS10" s="48">
        <f>IF(U10="Y",AP10+P10+Assumptions!$B$4+AQ10+Assumptions!$B$6,0)</f>
        <v>102895.29654400001</v>
      </c>
      <c r="AT10" s="47">
        <f t="shared" si="18"/>
        <v>44839.703456000017</v>
      </c>
      <c r="AU10" s="47">
        <f t="shared" si="19"/>
        <v>16321652.057984006</v>
      </c>
      <c r="AV10" s="35">
        <f t="shared" si="20"/>
        <v>0.30351442417842767</v>
      </c>
      <c r="AW10" s="49" t="str">
        <f t="shared" si="24"/>
        <v>UDAN</v>
      </c>
      <c r="AX10" s="47">
        <f t="shared" si="21"/>
        <v>44839.703456000017</v>
      </c>
      <c r="AY10" s="47">
        <f t="shared" si="22"/>
        <v>16321652.057984006</v>
      </c>
      <c r="AZ10" s="48">
        <f t="shared" si="23"/>
        <v>44219.464096000011</v>
      </c>
    </row>
    <row r="11" spans="1:52" x14ac:dyDescent="0.35">
      <c r="A11" s="2" t="s">
        <v>10</v>
      </c>
      <c r="B11" s="2" t="s">
        <v>37</v>
      </c>
      <c r="C11" s="2" t="s">
        <v>38</v>
      </c>
      <c r="D11">
        <v>460</v>
      </c>
      <c r="E11" s="2">
        <v>8</v>
      </c>
      <c r="F11" s="2">
        <v>70</v>
      </c>
      <c r="G11" s="4">
        <v>0.7</v>
      </c>
      <c r="H11" s="36">
        <v>3000</v>
      </c>
      <c r="I11" s="2">
        <f t="shared" si="0"/>
        <v>0.92</v>
      </c>
      <c r="J11" s="2">
        <v>500</v>
      </c>
      <c r="K11" s="2">
        <f t="shared" si="1"/>
        <v>416</v>
      </c>
      <c r="L11" s="6">
        <f t="shared" si="2"/>
        <v>49</v>
      </c>
      <c r="M11" s="2">
        <f t="shared" si="3"/>
        <v>32200</v>
      </c>
      <c r="N11" s="36">
        <f t="shared" si="4"/>
        <v>147000</v>
      </c>
      <c r="O11" s="36">
        <f>I11*Assumptions!B3*Assumptions!B2</f>
        <v>64962.734100000001</v>
      </c>
      <c r="P11" s="36">
        <f>I11*Assumptions!B7</f>
        <v>9200</v>
      </c>
      <c r="Q11" s="36">
        <f>Data!P11+Assumptions!B4+Assumptions!B5+Assumptions!B6</f>
        <v>65200</v>
      </c>
      <c r="R11" s="36">
        <f t="shared" si="5"/>
        <v>130162.7341</v>
      </c>
      <c r="S11" s="36">
        <f t="shared" si="6"/>
        <v>16837.265899999999</v>
      </c>
      <c r="T11" s="35">
        <f t="shared" si="7"/>
        <v>0.1145392238095238</v>
      </c>
      <c r="U11" s="34" t="s">
        <v>125</v>
      </c>
      <c r="V11" s="35">
        <f t="shared" si="8"/>
        <v>0.68169181390476186</v>
      </c>
      <c r="W11" s="37">
        <f>P11+I11*Assumptions!$B$3*Assumptions!$B$2*1.2+Assumptions!$B$4+Assumptions!$B$5+Assumptions!$B$6</f>
        <v>143155.28091999999</v>
      </c>
      <c r="X11" s="34" t="str">
        <f t="shared" si="9"/>
        <v>Viable</v>
      </c>
      <c r="Y11" s="38" t="str">
        <f>IF(V11&gt;Assumptions!$B$12,"Structurally Weak","Potentially Viable")</f>
        <v>Potentially Viable</v>
      </c>
      <c r="Z11" s="4">
        <f>Assumptions!B$10</f>
        <v>0.08</v>
      </c>
      <c r="AA11" s="37">
        <f t="shared" si="10"/>
        <v>3240</v>
      </c>
      <c r="AB11" s="35">
        <f>MIN(Assumptions!B$12,G11*(1+Z11*Assumptions!B$11))</f>
        <v>0.62719999999999998</v>
      </c>
      <c r="AC11" s="6">
        <f t="shared" si="11"/>
        <v>43.903999999999996</v>
      </c>
      <c r="AD11" s="37">
        <f t="shared" si="12"/>
        <v>142248.95999999999</v>
      </c>
      <c r="AE11" s="40">
        <f>AD11-(P11+I11*Assumptions!$B$3*Assumptions!$B$2*1.2+Assumptions!$B$4+Assumptions!$B$5+Assumptions!$B$6)</f>
        <v>-906.3209199999983</v>
      </c>
      <c r="AF11" s="40">
        <f t="shared" si="13"/>
        <v>-377029.50271999929</v>
      </c>
      <c r="AG11" s="35">
        <f t="shared" si="14"/>
        <v>-6.371371150973605E-3</v>
      </c>
      <c r="AH11" s="40">
        <f>'Scenario Analysis'!D11</f>
        <v>3844.7190800000099</v>
      </c>
      <c r="AI11" s="46" t="str">
        <f t="shared" si="15"/>
        <v>Keep</v>
      </c>
      <c r="AJ11" s="40">
        <f t="shared" si="16"/>
        <v>3844.7190800000099</v>
      </c>
      <c r="AK11" s="40">
        <f t="shared" si="17"/>
        <v>1599403.1372800041</v>
      </c>
      <c r="AL11" s="40">
        <f>IF(U11="Y",MIN(H11,Assumptions!$B$13*I11),0)</f>
        <v>0</v>
      </c>
      <c r="AM11" s="6">
        <f>IF(U11="Y",L11*Assumptions!$B$14,0)</f>
        <v>0</v>
      </c>
      <c r="AN11" s="6">
        <f>IF(U11="Y",L11*(1-Assumptions!$B$14),0)</f>
        <v>0</v>
      </c>
      <c r="AO11" s="40">
        <f>IF(U11="Y",AM11*AL11+AN11*H11+L11*Assumptions!$B$9,0)</f>
        <v>0</v>
      </c>
      <c r="AP11" s="47">
        <f>IF(U11="Y",O11*1.2*(1-Assumptions!$B$15),0)</f>
        <v>0</v>
      </c>
      <c r="AQ11" s="40">
        <f>IF(U11="Y",Assumptions!$B$5*(1-Assumptions!$B$16),0)</f>
        <v>0</v>
      </c>
      <c r="AR11" s="40">
        <f>IF(U11="Y",AM11*Assumptions!$B$17,0)</f>
        <v>0</v>
      </c>
      <c r="AS11" s="48">
        <f>IF(U11="Y",AP11+P11+Assumptions!$B$4+AQ11+Assumptions!$B$6,0)</f>
        <v>0</v>
      </c>
      <c r="AT11" s="47">
        <f t="shared" si="18"/>
        <v>0</v>
      </c>
      <c r="AU11" s="47">
        <f t="shared" si="19"/>
        <v>0</v>
      </c>
      <c r="AV11" s="35">
        <f t="shared" si="20"/>
        <v>0</v>
      </c>
      <c r="AW11" s="49" t="str">
        <f t="shared" si="24"/>
        <v>Keep as it is</v>
      </c>
      <c r="AX11" s="47">
        <f t="shared" si="21"/>
        <v>3844.7190800000099</v>
      </c>
      <c r="AY11" s="47">
        <f t="shared" si="22"/>
        <v>1599403.1372800041</v>
      </c>
      <c r="AZ11" s="48">
        <f t="shared" si="23"/>
        <v>0</v>
      </c>
    </row>
    <row r="12" spans="1:52" x14ac:dyDescent="0.35">
      <c r="A12" s="2" t="s">
        <v>11</v>
      </c>
      <c r="B12" s="2" t="s">
        <v>39</v>
      </c>
      <c r="C12" s="2" t="s">
        <v>40</v>
      </c>
      <c r="D12">
        <v>480</v>
      </c>
      <c r="E12" s="2">
        <v>4</v>
      </c>
      <c r="F12" s="2">
        <v>70</v>
      </c>
      <c r="G12" s="4">
        <v>0.65</v>
      </c>
      <c r="H12" s="36">
        <v>3500</v>
      </c>
      <c r="I12" s="2">
        <f t="shared" si="0"/>
        <v>0.96</v>
      </c>
      <c r="J12" s="2">
        <v>500</v>
      </c>
      <c r="K12" s="2">
        <f t="shared" si="1"/>
        <v>208</v>
      </c>
      <c r="L12" s="6">
        <f t="shared" si="2"/>
        <v>45.5</v>
      </c>
      <c r="M12" s="2">
        <f t="shared" si="3"/>
        <v>33600</v>
      </c>
      <c r="N12" s="36">
        <f t="shared" si="4"/>
        <v>159250</v>
      </c>
      <c r="O12" s="36">
        <f>I12*Assumptions!B3*Assumptions!B2</f>
        <v>67787.200799999991</v>
      </c>
      <c r="P12" s="36">
        <f>I12*Assumptions!B7</f>
        <v>9600</v>
      </c>
      <c r="Q12" s="36">
        <f>Data!P12+Assumptions!B4+Assumptions!B5+Assumptions!B6</f>
        <v>65600</v>
      </c>
      <c r="R12" s="36">
        <f t="shared" si="5"/>
        <v>133387.20079999999</v>
      </c>
      <c r="S12" s="36">
        <f t="shared" si="6"/>
        <v>25862.799200000009</v>
      </c>
      <c r="T12" s="35">
        <f t="shared" si="7"/>
        <v>0.1624037626373627</v>
      </c>
      <c r="U12" s="34" t="s">
        <v>124</v>
      </c>
      <c r="V12" s="35">
        <f t="shared" si="8"/>
        <v>0.59977404473469387</v>
      </c>
      <c r="W12" s="37">
        <f>P12+I12*Assumptions!$B$3*Assumptions!$B$2*1.2+Assumptions!$B$4+Assumptions!$B$5+Assumptions!$B$6</f>
        <v>146944.64095999999</v>
      </c>
      <c r="X12" s="34" t="str">
        <f t="shared" si="9"/>
        <v>Viable</v>
      </c>
      <c r="Y12" s="38" t="str">
        <f>IF(V12&gt;Assumptions!$B$12,"Structurally Weak","Potentially Viable")</f>
        <v>Potentially Viable</v>
      </c>
      <c r="Z12" s="4">
        <f>Assumptions!B$10</f>
        <v>0.08</v>
      </c>
      <c r="AA12" s="37">
        <f t="shared" si="10"/>
        <v>3780.0000000000005</v>
      </c>
      <c r="AB12" s="35">
        <f>MIN(Assumptions!B$12,G12*(1+Z12*Assumptions!B$11))</f>
        <v>0.58240000000000003</v>
      </c>
      <c r="AC12" s="6">
        <f t="shared" si="11"/>
        <v>40.768000000000001</v>
      </c>
      <c r="AD12" s="37">
        <f t="shared" si="12"/>
        <v>154103.04000000001</v>
      </c>
      <c r="AE12" s="40">
        <f>AD12-(P12+I12*Assumptions!$B$3*Assumptions!$B$2*1.2+Assumptions!$B$4+Assumptions!$B$5+Assumptions!$B$6)</f>
        <v>7158.3990400000184</v>
      </c>
      <c r="AF12" s="40">
        <f t="shared" si="13"/>
        <v>1488947.0003200038</v>
      </c>
      <c r="AG12" s="35">
        <f t="shared" si="14"/>
        <v>4.6452030018356669E-2</v>
      </c>
      <c r="AH12" s="40">
        <f>'Scenario Analysis'!D12</f>
        <v>12305.35904000001</v>
      </c>
      <c r="AI12" s="46" t="str">
        <f t="shared" si="15"/>
        <v>Keep</v>
      </c>
      <c r="AJ12" s="40">
        <f t="shared" si="16"/>
        <v>12305.35904000001</v>
      </c>
      <c r="AK12" s="40">
        <f t="shared" si="17"/>
        <v>2559514.6803200021</v>
      </c>
      <c r="AL12" s="40">
        <f>IF(U12="Y",MIN(H12,Assumptions!$B$13*I12),0)</f>
        <v>2400</v>
      </c>
      <c r="AM12" s="6">
        <f>IF(U12="Y",L12*Assumptions!$B$14,0)</f>
        <v>22.75</v>
      </c>
      <c r="AN12" s="6">
        <f>IF(U12="Y",L12*(1-Assumptions!$B$14),0)</f>
        <v>22.75</v>
      </c>
      <c r="AO12" s="40">
        <f>IF(U12="Y",AM12*AL12+AN12*H12+L12*Assumptions!$B$9,0)</f>
        <v>150150</v>
      </c>
      <c r="AP12" s="47">
        <f>IF(U12="Y",O12*1.2*(1-Assumptions!$B$15),0)</f>
        <v>69142.944815999988</v>
      </c>
      <c r="AQ12" s="40">
        <f>IF(U12="Y",Assumptions!$B$5*(1-Assumptions!$B$16),0)</f>
        <v>8400</v>
      </c>
      <c r="AR12" s="40">
        <f>IF(U12="Y",AM12*Assumptions!$B$17,0)</f>
        <v>34125</v>
      </c>
      <c r="AS12" s="48">
        <f>IF(U12="Y",AP12+P12+Assumptions!$B$4+AQ12+Assumptions!$B$6,0)</f>
        <v>129142.94481599999</v>
      </c>
      <c r="AT12" s="47">
        <f t="shared" si="18"/>
        <v>55132.055184000012</v>
      </c>
      <c r="AU12" s="47">
        <f t="shared" si="19"/>
        <v>11467467.478272002</v>
      </c>
      <c r="AV12" s="35">
        <f t="shared" si="20"/>
        <v>0.29918358531542538</v>
      </c>
      <c r="AW12" s="49" t="str">
        <f t="shared" si="24"/>
        <v>UDAN</v>
      </c>
      <c r="AX12" s="47">
        <f t="shared" si="21"/>
        <v>55132.055184000012</v>
      </c>
      <c r="AY12" s="47">
        <f t="shared" si="22"/>
        <v>11467467.478272002</v>
      </c>
      <c r="AZ12" s="48">
        <f t="shared" si="23"/>
        <v>42826.696144000001</v>
      </c>
    </row>
    <row r="13" spans="1:52" x14ac:dyDescent="0.35">
      <c r="A13" s="2" t="s">
        <v>12</v>
      </c>
      <c r="B13" s="2" t="s">
        <v>41</v>
      </c>
      <c r="C13" s="2" t="s">
        <v>31</v>
      </c>
      <c r="D13">
        <v>480</v>
      </c>
      <c r="E13" s="2">
        <v>6</v>
      </c>
      <c r="F13" s="2">
        <v>70</v>
      </c>
      <c r="G13" s="4">
        <v>0.68</v>
      </c>
      <c r="H13" s="36">
        <v>3300</v>
      </c>
      <c r="I13" s="2">
        <f t="shared" si="0"/>
        <v>0.96</v>
      </c>
      <c r="J13" s="2">
        <v>500</v>
      </c>
      <c r="K13" s="2">
        <f t="shared" si="1"/>
        <v>312</v>
      </c>
      <c r="L13" s="6">
        <f t="shared" si="2"/>
        <v>47.6</v>
      </c>
      <c r="M13" s="2">
        <f t="shared" si="3"/>
        <v>33600</v>
      </c>
      <c r="N13" s="36">
        <f t="shared" si="4"/>
        <v>157080</v>
      </c>
      <c r="O13" s="36">
        <f>I13*Assumptions!B3*Assumptions!B2</f>
        <v>67787.200799999991</v>
      </c>
      <c r="P13" s="36">
        <f>I13*Assumptions!B7</f>
        <v>9600</v>
      </c>
      <c r="Q13" s="36">
        <f>Data!P13+Assumptions!B4+Assumptions!B5+Assumptions!B6</f>
        <v>65600</v>
      </c>
      <c r="R13" s="36">
        <f t="shared" si="5"/>
        <v>133387.20079999999</v>
      </c>
      <c r="S13" s="36">
        <f t="shared" si="6"/>
        <v>23692.799200000009</v>
      </c>
      <c r="T13" s="35">
        <f t="shared" si="7"/>
        <v>0.15083269162210344</v>
      </c>
      <c r="U13" s="34" t="s">
        <v>124</v>
      </c>
      <c r="V13" s="35">
        <f t="shared" si="8"/>
        <v>0.63612398683982685</v>
      </c>
      <c r="W13" s="37">
        <f>P13+I13*Assumptions!$B$3*Assumptions!$B$2*1.2+Assumptions!$B$4+Assumptions!$B$5+Assumptions!$B$6</f>
        <v>146944.64095999999</v>
      </c>
      <c r="X13" s="34" t="str">
        <f t="shared" si="9"/>
        <v>Viable</v>
      </c>
      <c r="Y13" s="38" t="str">
        <f>IF(V13&gt;Assumptions!$B$12,"Structurally Weak","Potentially Viable")</f>
        <v>Potentially Viable</v>
      </c>
      <c r="Z13" s="4">
        <f>Assumptions!B$10</f>
        <v>0.08</v>
      </c>
      <c r="AA13" s="37">
        <f t="shared" si="10"/>
        <v>3564.0000000000005</v>
      </c>
      <c r="AB13" s="35">
        <f>MIN(Assumptions!B$12,G13*(1+Z13*Assumptions!B$11))</f>
        <v>0.60928000000000004</v>
      </c>
      <c r="AC13" s="6">
        <f t="shared" si="11"/>
        <v>42.649600000000007</v>
      </c>
      <c r="AD13" s="37">
        <f t="shared" si="12"/>
        <v>152003.17440000005</v>
      </c>
      <c r="AE13" s="40">
        <f>AD13-(P13+I13*Assumptions!$B$3*Assumptions!$B$2*1.2+Assumptions!$B$4+Assumptions!$B$5+Assumptions!$B$6)</f>
        <v>5058.5334400000575</v>
      </c>
      <c r="AF13" s="40">
        <f t="shared" si="13"/>
        <v>1578262.4332800179</v>
      </c>
      <c r="AG13" s="35">
        <f t="shared" si="14"/>
        <v>3.327913025479589E-2</v>
      </c>
      <c r="AH13" s="40">
        <f>'Scenario Analysis'!D13</f>
        <v>10135.35904000001</v>
      </c>
      <c r="AI13" s="46" t="str">
        <f t="shared" si="15"/>
        <v>Keep</v>
      </c>
      <c r="AJ13" s="40">
        <f t="shared" si="16"/>
        <v>10135.35904000001</v>
      </c>
      <c r="AK13" s="40">
        <f t="shared" si="17"/>
        <v>3162232.0204800032</v>
      </c>
      <c r="AL13" s="40">
        <f>IF(U13="Y",MIN(H13,Assumptions!$B$13*I13),0)</f>
        <v>2400</v>
      </c>
      <c r="AM13" s="6">
        <f>IF(U13="Y",L13*Assumptions!$B$14,0)</f>
        <v>23.8</v>
      </c>
      <c r="AN13" s="6">
        <f>IF(U13="Y",L13*(1-Assumptions!$B$14),0)</f>
        <v>23.8</v>
      </c>
      <c r="AO13" s="40">
        <f>IF(U13="Y",AM13*AL13+AN13*H13+L13*Assumptions!$B$9,0)</f>
        <v>152320</v>
      </c>
      <c r="AP13" s="47">
        <f>IF(U13="Y",O13*1.2*(1-Assumptions!$B$15),0)</f>
        <v>69142.944815999988</v>
      </c>
      <c r="AQ13" s="40">
        <f>IF(U13="Y",Assumptions!$B$5*(1-Assumptions!$B$16),0)</f>
        <v>8400</v>
      </c>
      <c r="AR13" s="40">
        <f>IF(U13="Y",AM13*Assumptions!$B$17,0)</f>
        <v>35700</v>
      </c>
      <c r="AS13" s="48">
        <f>IF(U13="Y",AP13+P13+Assumptions!$B$4+AQ13+Assumptions!$B$6,0)</f>
        <v>129142.94481599999</v>
      </c>
      <c r="AT13" s="47">
        <f t="shared" si="18"/>
        <v>58877.055184000012</v>
      </c>
      <c r="AU13" s="47">
        <f t="shared" si="19"/>
        <v>18369641.217408005</v>
      </c>
      <c r="AV13" s="35">
        <f t="shared" si="20"/>
        <v>0.3131425124135731</v>
      </c>
      <c r="AW13" s="49" t="str">
        <f t="shared" si="24"/>
        <v>UDAN</v>
      </c>
      <c r="AX13" s="47">
        <f t="shared" si="21"/>
        <v>58877.055184000012</v>
      </c>
      <c r="AY13" s="47">
        <f t="shared" si="22"/>
        <v>18369641.217408005</v>
      </c>
      <c r="AZ13" s="48">
        <f t="shared" si="23"/>
        <v>48741.696144000001</v>
      </c>
    </row>
    <row r="14" spans="1:52" x14ac:dyDescent="0.35">
      <c r="A14" s="2" t="s">
        <v>13</v>
      </c>
      <c r="B14" s="2" t="s">
        <v>42</v>
      </c>
      <c r="C14" s="2" t="s">
        <v>27</v>
      </c>
      <c r="D14">
        <v>380</v>
      </c>
      <c r="E14" s="2">
        <v>9</v>
      </c>
      <c r="F14" s="2">
        <v>70</v>
      </c>
      <c r="G14" s="4">
        <v>0.72</v>
      </c>
      <c r="H14" s="36">
        <v>2700</v>
      </c>
      <c r="I14" s="2">
        <f t="shared" si="0"/>
        <v>0.76</v>
      </c>
      <c r="J14" s="2">
        <v>500</v>
      </c>
      <c r="K14" s="2">
        <f t="shared" si="1"/>
        <v>468</v>
      </c>
      <c r="L14" s="6">
        <f t="shared" si="2"/>
        <v>50.4</v>
      </c>
      <c r="M14" s="2">
        <f t="shared" si="3"/>
        <v>26600</v>
      </c>
      <c r="N14" s="36">
        <f t="shared" si="4"/>
        <v>136080</v>
      </c>
      <c r="O14" s="36">
        <f>I14*Assumptions!B3*Assumptions!B2</f>
        <v>53664.867300000005</v>
      </c>
      <c r="P14" s="36">
        <f>I14*Assumptions!B7</f>
        <v>7600</v>
      </c>
      <c r="Q14" s="36">
        <f>Data!P14+Assumptions!B4+Assumptions!B5+Assumptions!B6</f>
        <v>63600</v>
      </c>
      <c r="R14" s="36">
        <f t="shared" si="5"/>
        <v>117264.86730000001</v>
      </c>
      <c r="S14" s="36">
        <f t="shared" si="6"/>
        <v>18815.132699999987</v>
      </c>
      <c r="T14" s="35">
        <f t="shared" si="7"/>
        <v>0.1382652314814814</v>
      </c>
      <c r="U14" s="34" t="s">
        <v>124</v>
      </c>
      <c r="V14" s="35">
        <f t="shared" si="8"/>
        <v>0.67723725269841273</v>
      </c>
      <c r="W14" s="37">
        <f>P14+I14*Assumptions!$B$3*Assumptions!$B$2*1.2+Assumptions!$B$4+Assumptions!$B$5+Assumptions!$B$6</f>
        <v>127997.84076000001</v>
      </c>
      <c r="X14" s="34" t="str">
        <f t="shared" si="9"/>
        <v>Viable</v>
      </c>
      <c r="Y14" s="38" t="str">
        <f>IF(V14&gt;Assumptions!$B$12,"Structurally Weak","Potentially Viable")</f>
        <v>Potentially Viable</v>
      </c>
      <c r="Z14" s="4">
        <f>Assumptions!B$10</f>
        <v>0.08</v>
      </c>
      <c r="AA14" s="37">
        <f t="shared" si="10"/>
        <v>2916</v>
      </c>
      <c r="AB14" s="35">
        <f>MIN(Assumptions!B$12,G14*(1+Z14*Assumptions!B$11))</f>
        <v>0.64512000000000003</v>
      </c>
      <c r="AC14" s="6">
        <f t="shared" si="11"/>
        <v>45.1584</v>
      </c>
      <c r="AD14" s="37">
        <f t="shared" si="12"/>
        <v>131681.89439999999</v>
      </c>
      <c r="AE14" s="40">
        <f>AD14-(P14+I14*Assumptions!$B$3*Assumptions!$B$2*1.2+Assumptions!$B$4+Assumptions!$B$5+Assumptions!$B$6)</f>
        <v>3684.0536399999837</v>
      </c>
      <c r="AF14" s="40">
        <f t="shared" si="13"/>
        <v>1724137.1035199924</v>
      </c>
      <c r="AG14" s="35">
        <f t="shared" si="14"/>
        <v>2.7976918594512443E-2</v>
      </c>
      <c r="AH14" s="40">
        <f>'Scenario Analysis'!D14</f>
        <v>8082.1592399999936</v>
      </c>
      <c r="AI14" s="46" t="str">
        <f t="shared" si="15"/>
        <v>Keep</v>
      </c>
      <c r="AJ14" s="40">
        <f t="shared" si="16"/>
        <v>8082.1592399999936</v>
      </c>
      <c r="AK14" s="40">
        <f t="shared" si="17"/>
        <v>3782450.5243199971</v>
      </c>
      <c r="AL14" s="40">
        <f>IF(U14="Y",MIN(H14,Assumptions!$B$13*I14),0)</f>
        <v>1900</v>
      </c>
      <c r="AM14" s="6">
        <f>IF(U14="Y",L14*Assumptions!$B$14,0)</f>
        <v>25.2</v>
      </c>
      <c r="AN14" s="6">
        <f>IF(U14="Y",L14*(1-Assumptions!$B$14),0)</f>
        <v>25.2</v>
      </c>
      <c r="AO14" s="40">
        <f>IF(U14="Y",AM14*AL14+AN14*H14+L14*Assumptions!$B$9,0)</f>
        <v>133560</v>
      </c>
      <c r="AP14" s="47">
        <f>IF(U14="Y",O14*1.2*(1-Assumptions!$B$15),0)</f>
        <v>54738.164646000005</v>
      </c>
      <c r="AQ14" s="40">
        <f>IF(U14="Y",Assumptions!$B$5*(1-Assumptions!$B$16),0)</f>
        <v>8400</v>
      </c>
      <c r="AR14" s="40">
        <f>IF(U14="Y",AM14*Assumptions!$B$17,0)</f>
        <v>37800</v>
      </c>
      <c r="AS14" s="48">
        <f>IF(U14="Y",AP14+P14+Assumptions!$B$4+AQ14+Assumptions!$B$6,0)</f>
        <v>112738.164646</v>
      </c>
      <c r="AT14" s="47">
        <f t="shared" si="18"/>
        <v>58621.835353999995</v>
      </c>
      <c r="AU14" s="47">
        <f t="shared" si="19"/>
        <v>27435018.945671998</v>
      </c>
      <c r="AV14" s="35">
        <f t="shared" si="20"/>
        <v>0.34209754524976654</v>
      </c>
      <c r="AW14" s="49" t="str">
        <f t="shared" si="24"/>
        <v>UDAN</v>
      </c>
      <c r="AX14" s="47">
        <f t="shared" si="21"/>
        <v>58621.835353999995</v>
      </c>
      <c r="AY14" s="47">
        <f t="shared" si="22"/>
        <v>27435018.945671998</v>
      </c>
      <c r="AZ14" s="48">
        <f t="shared" si="23"/>
        <v>50539.676114000002</v>
      </c>
    </row>
    <row r="15" spans="1:52" x14ac:dyDescent="0.35">
      <c r="A15" s="2" t="s">
        <v>14</v>
      </c>
      <c r="B15" s="2" t="s">
        <v>43</v>
      </c>
      <c r="C15" s="2" t="s">
        <v>24</v>
      </c>
      <c r="D15">
        <v>300</v>
      </c>
      <c r="E15" s="2">
        <v>10</v>
      </c>
      <c r="F15" s="2">
        <v>70</v>
      </c>
      <c r="G15" s="4">
        <v>0.75</v>
      </c>
      <c r="H15" s="36">
        <v>2400</v>
      </c>
      <c r="I15" s="2">
        <f t="shared" si="0"/>
        <v>0.6</v>
      </c>
      <c r="J15" s="2">
        <v>500</v>
      </c>
      <c r="K15" s="2">
        <f t="shared" si="1"/>
        <v>520</v>
      </c>
      <c r="L15" s="6">
        <f t="shared" si="2"/>
        <v>52.5</v>
      </c>
      <c r="M15" s="2">
        <f t="shared" si="3"/>
        <v>21000</v>
      </c>
      <c r="N15" s="36">
        <f t="shared" si="4"/>
        <v>126000</v>
      </c>
      <c r="O15" s="36">
        <f>I15*Assumptions!B3*Assumptions!B2</f>
        <v>42367.000500000002</v>
      </c>
      <c r="P15" s="36">
        <f>I15*Assumptions!B7</f>
        <v>6000</v>
      </c>
      <c r="Q15" s="36">
        <f>Data!P15+Assumptions!B4+Assumptions!B5+Assumptions!B6</f>
        <v>62000</v>
      </c>
      <c r="R15" s="36">
        <f t="shared" si="5"/>
        <v>104367.00049999999</v>
      </c>
      <c r="S15" s="36">
        <f t="shared" si="6"/>
        <v>21632.999500000005</v>
      </c>
      <c r="T15" s="35">
        <f t="shared" si="7"/>
        <v>0.17169047222222225</v>
      </c>
      <c r="U15" s="34" t="s">
        <v>124</v>
      </c>
      <c r="V15" s="35">
        <f t="shared" si="8"/>
        <v>0.67166905119047615</v>
      </c>
      <c r="W15" s="37">
        <f>P15+I15*Assumptions!$B$3*Assumptions!$B$2*1.2+Assumptions!$B$4+Assumptions!$B$5+Assumptions!$B$6</f>
        <v>112840.40059999999</v>
      </c>
      <c r="X15" s="34" t="str">
        <f t="shared" si="9"/>
        <v>Viable</v>
      </c>
      <c r="Y15" s="38" t="str">
        <f>IF(V15&gt;Assumptions!$B$12,"Structurally Weak","Potentially Viable")</f>
        <v>Potentially Viable</v>
      </c>
      <c r="Z15" s="4">
        <f>Assumptions!B$10</f>
        <v>0.08</v>
      </c>
      <c r="AA15" s="37">
        <f t="shared" si="10"/>
        <v>2592</v>
      </c>
      <c r="AB15" s="35">
        <f>MIN(Assumptions!B$12,G15*(1+Z15*Assumptions!B$11))</f>
        <v>0.67200000000000004</v>
      </c>
      <c r="AC15" s="6">
        <f t="shared" si="11"/>
        <v>47.040000000000006</v>
      </c>
      <c r="AD15" s="37">
        <f t="shared" si="12"/>
        <v>121927.68000000002</v>
      </c>
      <c r="AE15" s="40">
        <f>AD15-(P15+I15*Assumptions!$B$3*Assumptions!$B$2*1.2+Assumptions!$B$4+Assumptions!$B$5+Assumptions!$B$6)</f>
        <v>9087.2794000000285</v>
      </c>
      <c r="AF15" s="40">
        <f t="shared" si="13"/>
        <v>4725385.2880000146</v>
      </c>
      <c r="AG15" s="35">
        <f t="shared" si="14"/>
        <v>7.453007717361658E-2</v>
      </c>
      <c r="AH15" s="40">
        <f>'Scenario Analysis'!D15</f>
        <v>13159.599400000006</v>
      </c>
      <c r="AI15" s="46" t="str">
        <f t="shared" si="15"/>
        <v>Keep</v>
      </c>
      <c r="AJ15" s="40">
        <f t="shared" si="16"/>
        <v>13159.599400000006</v>
      </c>
      <c r="AK15" s="40">
        <f t="shared" si="17"/>
        <v>6842991.6880000029</v>
      </c>
      <c r="AL15" s="40">
        <f>IF(U15="Y",MIN(H15,Assumptions!$B$13*I15),0)</f>
        <v>1500</v>
      </c>
      <c r="AM15" s="6">
        <f>IF(U15="Y",L15*Assumptions!$B$14,0)</f>
        <v>26.25</v>
      </c>
      <c r="AN15" s="6">
        <f>IF(U15="Y",L15*(1-Assumptions!$B$14),0)</f>
        <v>26.25</v>
      </c>
      <c r="AO15" s="40">
        <f>IF(U15="Y",AM15*AL15+AN15*H15+L15*Assumptions!$B$9,0)</f>
        <v>120750</v>
      </c>
      <c r="AP15" s="47">
        <f>IF(U15="Y",O15*1.2*(1-Assumptions!$B$15),0)</f>
        <v>43214.340510000002</v>
      </c>
      <c r="AQ15" s="40">
        <f>IF(U15="Y",Assumptions!$B$5*(1-Assumptions!$B$16),0)</f>
        <v>8400</v>
      </c>
      <c r="AR15" s="40">
        <f>IF(U15="Y",AM15*Assumptions!$B$17,0)</f>
        <v>39375</v>
      </c>
      <c r="AS15" s="48">
        <f>IF(U15="Y",AP15+P15+Assumptions!$B$4+AQ15+Assumptions!$B$6,0)</f>
        <v>99614.340510000009</v>
      </c>
      <c r="AT15" s="47">
        <f t="shared" si="18"/>
        <v>60510.659489999991</v>
      </c>
      <c r="AU15" s="47">
        <f t="shared" si="19"/>
        <v>31465542.934799995</v>
      </c>
      <c r="AV15" s="35">
        <f t="shared" si="20"/>
        <v>0.37789639025761118</v>
      </c>
      <c r="AW15" s="49" t="str">
        <f t="shared" si="24"/>
        <v>UDAN</v>
      </c>
      <c r="AX15" s="47">
        <f t="shared" si="21"/>
        <v>60510.659489999991</v>
      </c>
      <c r="AY15" s="47">
        <f t="shared" si="22"/>
        <v>31465542.934799995</v>
      </c>
      <c r="AZ15" s="48">
        <f t="shared" si="23"/>
        <v>47351.060089999984</v>
      </c>
    </row>
    <row r="16" spans="1:52" x14ac:dyDescent="0.35">
      <c r="A16" s="2" t="s">
        <v>15</v>
      </c>
      <c r="B16" s="2" t="s">
        <v>44</v>
      </c>
      <c r="C16" s="2" t="s">
        <v>36</v>
      </c>
      <c r="D16">
        <v>400</v>
      </c>
      <c r="E16" s="2">
        <v>7</v>
      </c>
      <c r="F16" s="2">
        <v>70</v>
      </c>
      <c r="G16" s="4">
        <v>0.66</v>
      </c>
      <c r="H16" s="36">
        <v>2800</v>
      </c>
      <c r="I16" s="2">
        <f t="shared" si="0"/>
        <v>0.8</v>
      </c>
      <c r="J16" s="2">
        <v>500</v>
      </c>
      <c r="K16" s="2">
        <f t="shared" si="1"/>
        <v>364</v>
      </c>
      <c r="L16" s="6">
        <f t="shared" si="2"/>
        <v>46.2</v>
      </c>
      <c r="M16" s="2">
        <f t="shared" si="3"/>
        <v>28000</v>
      </c>
      <c r="N16" s="36">
        <f t="shared" si="4"/>
        <v>129360.00000000001</v>
      </c>
      <c r="O16" s="36">
        <f>I16*Assumptions!B3*Assumptions!B2</f>
        <v>56489.334000000003</v>
      </c>
      <c r="P16" s="36">
        <f>I16*Assumptions!B7</f>
        <v>8000</v>
      </c>
      <c r="Q16" s="36">
        <f>Data!P16+Assumptions!B4+Assumptions!B5+Assumptions!B6</f>
        <v>64000</v>
      </c>
      <c r="R16" s="36">
        <f t="shared" si="5"/>
        <v>120489.334</v>
      </c>
      <c r="S16" s="36">
        <f t="shared" si="6"/>
        <v>8870.666000000012</v>
      </c>
      <c r="T16" s="35">
        <f t="shared" si="7"/>
        <v>6.8573484848484939E-2</v>
      </c>
      <c r="U16" s="34" t="s">
        <v>124</v>
      </c>
      <c r="V16" s="35">
        <f t="shared" si="8"/>
        <v>0.67238367755102035</v>
      </c>
      <c r="W16" s="37">
        <f>P16+I16*Assumptions!$B$3*Assumptions!$B$2*1.2+Assumptions!$B$4+Assumptions!$B$5+Assumptions!$B$6</f>
        <v>131787.20079999999</v>
      </c>
      <c r="X16" s="34" t="str">
        <f t="shared" si="9"/>
        <v>At Risk</v>
      </c>
      <c r="Y16" s="38" t="str">
        <f>IF(V16&gt;Assumptions!$B$12,"Structurally Weak","Potentially Viable")</f>
        <v>Potentially Viable</v>
      </c>
      <c r="Z16" s="4">
        <f>Assumptions!B$10</f>
        <v>0.08</v>
      </c>
      <c r="AA16" s="37">
        <f t="shared" si="10"/>
        <v>3024</v>
      </c>
      <c r="AB16" s="35">
        <f>MIN(Assumptions!B$12,G16*(1+Z16*Assumptions!B$11))</f>
        <v>0.59136</v>
      </c>
      <c r="AC16" s="6">
        <f t="shared" si="11"/>
        <v>41.395200000000003</v>
      </c>
      <c r="AD16" s="37">
        <f t="shared" si="12"/>
        <v>125179.08480000001</v>
      </c>
      <c r="AE16" s="40">
        <f>AD16-(P16+I16*Assumptions!$B$3*Assumptions!$B$2*1.2+Assumptions!$B$4+Assumptions!$B$5+Assumptions!$B$6)</f>
        <v>-6608.11599999998</v>
      </c>
      <c r="AF16" s="40">
        <f t="shared" si="13"/>
        <v>-2405354.2239999929</v>
      </c>
      <c r="AG16" s="35">
        <f t="shared" si="14"/>
        <v>-5.278929791312853E-2</v>
      </c>
      <c r="AH16" s="40">
        <f>'Scenario Analysis'!D16</f>
        <v>-2427.2007999999769</v>
      </c>
      <c r="AI16" s="46" t="str">
        <f t="shared" si="15"/>
        <v>Keep</v>
      </c>
      <c r="AJ16" s="40">
        <f t="shared" si="16"/>
        <v>-2427.2007999999769</v>
      </c>
      <c r="AK16" s="40">
        <f t="shared" si="17"/>
        <v>-883501.09119999153</v>
      </c>
      <c r="AL16" s="40">
        <f>IF(U16="Y",MIN(H16,Assumptions!$B$13*I16),0)</f>
        <v>2000</v>
      </c>
      <c r="AM16" s="6">
        <f>IF(U16="Y",L16*Assumptions!$B$14,0)</f>
        <v>23.1</v>
      </c>
      <c r="AN16" s="6">
        <f>IF(U16="Y",L16*(1-Assumptions!$B$14),0)</f>
        <v>23.1</v>
      </c>
      <c r="AO16" s="40">
        <f>IF(U16="Y",AM16*AL16+AN16*H16+L16*Assumptions!$B$9,0)</f>
        <v>127050</v>
      </c>
      <c r="AP16" s="47">
        <f>IF(U16="Y",O16*1.2*(1-Assumptions!$B$15),0)</f>
        <v>57619.12068</v>
      </c>
      <c r="AQ16" s="40">
        <f>IF(U16="Y",Assumptions!$B$5*(1-Assumptions!$B$16),0)</f>
        <v>8400</v>
      </c>
      <c r="AR16" s="40">
        <f>IF(U16="Y",AM16*Assumptions!$B$17,0)</f>
        <v>34650</v>
      </c>
      <c r="AS16" s="48">
        <f>IF(U16="Y",AP16+P16+Assumptions!$B$4+AQ16+Assumptions!$B$6,0)</f>
        <v>116019.12067999999</v>
      </c>
      <c r="AT16" s="47">
        <f t="shared" si="18"/>
        <v>45680.879320000007</v>
      </c>
      <c r="AU16" s="47">
        <f t="shared" si="19"/>
        <v>16627840.072480002</v>
      </c>
      <c r="AV16" s="35">
        <f t="shared" si="20"/>
        <v>0.28250389189857766</v>
      </c>
      <c r="AW16" s="49" t="str">
        <f t="shared" si="24"/>
        <v>UDAN</v>
      </c>
      <c r="AX16" s="47">
        <f t="shared" si="21"/>
        <v>45680.879320000007</v>
      </c>
      <c r="AY16" s="47">
        <f t="shared" si="22"/>
        <v>16627840.072480002</v>
      </c>
      <c r="AZ16" s="48">
        <f t="shared" si="23"/>
        <v>48108.080119999984</v>
      </c>
    </row>
    <row r="17" spans="1:52" x14ac:dyDescent="0.35">
      <c r="A17" s="2" t="s">
        <v>16</v>
      </c>
      <c r="B17" s="2" t="s">
        <v>45</v>
      </c>
      <c r="C17" s="2" t="s">
        <v>27</v>
      </c>
      <c r="D17">
        <v>480</v>
      </c>
      <c r="E17" s="2">
        <v>3</v>
      </c>
      <c r="F17" s="2">
        <v>70</v>
      </c>
      <c r="G17" s="4">
        <v>0.57999999999999996</v>
      </c>
      <c r="H17" s="36">
        <v>3600</v>
      </c>
      <c r="I17" s="2">
        <f t="shared" si="0"/>
        <v>0.96</v>
      </c>
      <c r="J17" s="2">
        <v>500</v>
      </c>
      <c r="K17" s="2">
        <f t="shared" si="1"/>
        <v>156</v>
      </c>
      <c r="L17" s="6">
        <f t="shared" si="2"/>
        <v>40.599999999999994</v>
      </c>
      <c r="M17" s="2">
        <f t="shared" si="3"/>
        <v>33600</v>
      </c>
      <c r="N17" s="36">
        <f t="shared" si="4"/>
        <v>146159.99999999997</v>
      </c>
      <c r="O17" s="36">
        <f>I17*Assumptions!B3*Assumptions!B2</f>
        <v>67787.200799999991</v>
      </c>
      <c r="P17" s="36">
        <f>I17*Assumptions!B7</f>
        <v>9600</v>
      </c>
      <c r="Q17" s="36">
        <f>Data!P17+Assumptions!B4+Assumptions!B5+Assumptions!B6</f>
        <v>65600</v>
      </c>
      <c r="R17" s="36">
        <f t="shared" si="5"/>
        <v>133387.20079999999</v>
      </c>
      <c r="S17" s="36">
        <f t="shared" si="6"/>
        <v>12772.799199999979</v>
      </c>
      <c r="T17" s="35">
        <f t="shared" si="7"/>
        <v>8.7389157088122477E-2</v>
      </c>
      <c r="U17" s="34" t="s">
        <v>124</v>
      </c>
      <c r="V17" s="35">
        <f t="shared" si="8"/>
        <v>0.58311365460317455</v>
      </c>
      <c r="W17" s="37">
        <f>P17+I17*Assumptions!$B$3*Assumptions!$B$2*1.2+Assumptions!$B$4+Assumptions!$B$5+Assumptions!$B$6</f>
        <v>146944.64095999999</v>
      </c>
      <c r="X17" s="34" t="str">
        <f t="shared" si="9"/>
        <v>At Risk</v>
      </c>
      <c r="Y17" s="38" t="str">
        <f>IF(V17&gt;Assumptions!$B$12,"Structurally Weak","Potentially Viable")</f>
        <v>Potentially Viable</v>
      </c>
      <c r="Z17" s="4">
        <f>Assumptions!B$10</f>
        <v>0.08</v>
      </c>
      <c r="AA17" s="37">
        <f t="shared" si="10"/>
        <v>3888.0000000000005</v>
      </c>
      <c r="AB17" s="35">
        <f>MIN(Assumptions!B$12,G17*(1+Z17*Assumptions!B$11))</f>
        <v>0.51967999999999992</v>
      </c>
      <c r="AC17" s="6">
        <f t="shared" si="11"/>
        <v>36.377599999999994</v>
      </c>
      <c r="AD17" s="37">
        <f t="shared" si="12"/>
        <v>141436.10879999999</v>
      </c>
      <c r="AE17" s="40">
        <f>AD17-(P17+I17*Assumptions!$B$3*Assumptions!$B$2*1.2+Assumptions!$B$4+Assumptions!$B$5+Assumptions!$B$6)</f>
        <v>-5508.5321600000025</v>
      </c>
      <c r="AF17" s="40">
        <f t="shared" si="13"/>
        <v>-859331.01696000039</v>
      </c>
      <c r="AG17" s="35">
        <f t="shared" si="14"/>
        <v>-3.8947141622719776E-2</v>
      </c>
      <c r="AH17" s="40">
        <f>'Scenario Analysis'!D17</f>
        <v>-784.64096000001882</v>
      </c>
      <c r="AI17" s="46" t="str">
        <f t="shared" si="15"/>
        <v>Keep</v>
      </c>
      <c r="AJ17" s="40">
        <f t="shared" si="16"/>
        <v>-784.64096000001882</v>
      </c>
      <c r="AK17" s="40">
        <f t="shared" si="17"/>
        <v>-122403.98976000294</v>
      </c>
      <c r="AL17" s="40">
        <f>IF(U17="Y",MIN(H17,Assumptions!$B$13*I17),0)</f>
        <v>2400</v>
      </c>
      <c r="AM17" s="6">
        <f>IF(U17="Y",L17*Assumptions!$B$14,0)</f>
        <v>20.299999999999997</v>
      </c>
      <c r="AN17" s="6">
        <f>IF(U17="Y",L17*(1-Assumptions!$B$14),0)</f>
        <v>20.299999999999997</v>
      </c>
      <c r="AO17" s="40">
        <f>IF(U17="Y",AM17*AL17+AN17*H17+L17*Assumptions!$B$9,0)</f>
        <v>136009.99999999997</v>
      </c>
      <c r="AP17" s="47">
        <f>IF(U17="Y",O17*1.2*(1-Assumptions!$B$15),0)</f>
        <v>69142.944815999988</v>
      </c>
      <c r="AQ17" s="40">
        <f>IF(U17="Y",Assumptions!$B$5*(1-Assumptions!$B$16),0)</f>
        <v>8400</v>
      </c>
      <c r="AR17" s="40">
        <f>IF(U17="Y",AM17*Assumptions!$B$17,0)</f>
        <v>30449.999999999996</v>
      </c>
      <c r="AS17" s="48">
        <f>IF(U17="Y",AP17+P17+Assumptions!$B$4+AQ17+Assumptions!$B$6,0)</f>
        <v>129142.94481599999</v>
      </c>
      <c r="AT17" s="47">
        <f t="shared" si="18"/>
        <v>37317.055183999983</v>
      </c>
      <c r="AU17" s="47">
        <f t="shared" si="19"/>
        <v>5821460.608703997</v>
      </c>
      <c r="AV17" s="35">
        <f t="shared" si="20"/>
        <v>0.22418031469422076</v>
      </c>
      <c r="AW17" s="49" t="str">
        <f t="shared" si="24"/>
        <v>UDAN</v>
      </c>
      <c r="AX17" s="47">
        <f t="shared" si="21"/>
        <v>37317.055183999983</v>
      </c>
      <c r="AY17" s="47">
        <f t="shared" si="22"/>
        <v>5821460.608703997</v>
      </c>
      <c r="AZ17" s="48">
        <f t="shared" si="23"/>
        <v>38101.696144000001</v>
      </c>
    </row>
    <row r="18" spans="1:52" x14ac:dyDescent="0.35">
      <c r="A18" s="2" t="s">
        <v>17</v>
      </c>
      <c r="B18" s="2" t="s">
        <v>46</v>
      </c>
      <c r="C18" s="2" t="s">
        <v>24</v>
      </c>
      <c r="D18">
        <v>350</v>
      </c>
      <c r="E18" s="2">
        <v>6</v>
      </c>
      <c r="F18" s="2">
        <v>70</v>
      </c>
      <c r="G18" s="4">
        <v>0.64</v>
      </c>
      <c r="H18" s="36">
        <v>2900</v>
      </c>
      <c r="I18" s="2">
        <f t="shared" si="0"/>
        <v>0.7</v>
      </c>
      <c r="J18" s="2">
        <v>500</v>
      </c>
      <c r="K18" s="2">
        <f t="shared" si="1"/>
        <v>312</v>
      </c>
      <c r="L18" s="6">
        <f t="shared" si="2"/>
        <v>44.800000000000004</v>
      </c>
      <c r="M18" s="2">
        <f t="shared" si="3"/>
        <v>24500</v>
      </c>
      <c r="N18" s="36">
        <f t="shared" si="4"/>
        <v>129920.00000000001</v>
      </c>
      <c r="O18" s="36">
        <f>I18*Assumptions!B3*Assumptions!B2</f>
        <v>49428.167249999999</v>
      </c>
      <c r="P18" s="36">
        <f>I18*Assumptions!B7</f>
        <v>7000</v>
      </c>
      <c r="Q18" s="36">
        <f>Data!P18+Assumptions!B4+Assumptions!B5+Assumptions!B6</f>
        <v>63000</v>
      </c>
      <c r="R18" s="36">
        <f t="shared" si="5"/>
        <v>112428.16725</v>
      </c>
      <c r="S18" s="36">
        <f t="shared" si="6"/>
        <v>17491.832750000016</v>
      </c>
      <c r="T18" s="35">
        <f t="shared" si="7"/>
        <v>0.13463541217672426</v>
      </c>
      <c r="U18" s="34" t="s">
        <v>124</v>
      </c>
      <c r="V18" s="35">
        <f t="shared" si="8"/>
        <v>0.60253103793103446</v>
      </c>
      <c r="W18" s="37">
        <f>P18+I18*Assumptions!$B$3*Assumptions!$B$2*1.2+Assumptions!$B$4+Assumptions!$B$5+Assumptions!$B$6</f>
        <v>122313.80069999999</v>
      </c>
      <c r="X18" s="34" t="str">
        <f t="shared" si="9"/>
        <v>Viable</v>
      </c>
      <c r="Y18" s="38" t="str">
        <f>IF(V18&gt;Assumptions!$B$12,"Structurally Weak","Potentially Viable")</f>
        <v>Potentially Viable</v>
      </c>
      <c r="Z18" s="4">
        <f>Assumptions!B$10</f>
        <v>0.08</v>
      </c>
      <c r="AA18" s="37">
        <f t="shared" si="10"/>
        <v>3132</v>
      </c>
      <c r="AB18" s="35">
        <f>MIN(Assumptions!B$12,G18*(1+Z18*Assumptions!B$11))</f>
        <v>0.57344000000000006</v>
      </c>
      <c r="AC18" s="6">
        <f t="shared" si="11"/>
        <v>40.140800000000006</v>
      </c>
      <c r="AD18" s="37">
        <f t="shared" si="12"/>
        <v>125720.98560000001</v>
      </c>
      <c r="AE18" s="40">
        <f>AD18-(P18+I18*Assumptions!$B$3*Assumptions!$B$2*1.2+Assumptions!$B$4+Assumptions!$B$5+Assumptions!$B$6)</f>
        <v>3407.184900000022</v>
      </c>
      <c r="AF18" s="40">
        <f t="shared" si="13"/>
        <v>1063041.6888000069</v>
      </c>
      <c r="AG18" s="35">
        <f t="shared" si="14"/>
        <v>2.710116281493757E-2</v>
      </c>
      <c r="AH18" s="40">
        <f>'Scenario Analysis'!D18</f>
        <v>7606.199300000022</v>
      </c>
      <c r="AI18" s="46" t="str">
        <f t="shared" si="15"/>
        <v>Keep</v>
      </c>
      <c r="AJ18" s="40">
        <f t="shared" si="16"/>
        <v>7606.199300000022</v>
      </c>
      <c r="AK18" s="40">
        <f t="shared" si="17"/>
        <v>2373134.1816000068</v>
      </c>
      <c r="AL18" s="40">
        <f>IF(U18="Y",MIN(H18,Assumptions!$B$13*I18),0)</f>
        <v>1750</v>
      </c>
      <c r="AM18" s="6">
        <f>IF(U18="Y",L18*Assumptions!$B$14,0)</f>
        <v>22.400000000000002</v>
      </c>
      <c r="AN18" s="6">
        <f>IF(U18="Y",L18*(1-Assumptions!$B$14),0)</f>
        <v>22.400000000000002</v>
      </c>
      <c r="AO18" s="40">
        <f>IF(U18="Y",AM18*AL18+AN18*H18+L18*Assumptions!$B$9,0)</f>
        <v>119840.00000000001</v>
      </c>
      <c r="AP18" s="47">
        <f>IF(U18="Y",O18*1.2*(1-Assumptions!$B$15),0)</f>
        <v>50416.730594999994</v>
      </c>
      <c r="AQ18" s="40">
        <f>IF(U18="Y",Assumptions!$B$5*(1-Assumptions!$B$16),0)</f>
        <v>8400</v>
      </c>
      <c r="AR18" s="40">
        <f>IF(U18="Y",AM18*Assumptions!$B$17,0)</f>
        <v>33600</v>
      </c>
      <c r="AS18" s="48">
        <f>IF(U18="Y",AP18+P18+Assumptions!$B$4+AQ18+Assumptions!$B$6,0)</f>
        <v>107816.730595</v>
      </c>
      <c r="AT18" s="47">
        <f t="shared" si="18"/>
        <v>45623.269404999999</v>
      </c>
      <c r="AU18" s="47">
        <f t="shared" si="19"/>
        <v>14234460.05436</v>
      </c>
      <c r="AV18" s="35">
        <f t="shared" si="20"/>
        <v>0.29733621874999999</v>
      </c>
      <c r="AW18" s="49" t="str">
        <f t="shared" si="24"/>
        <v>UDAN</v>
      </c>
      <c r="AX18" s="47">
        <f t="shared" si="21"/>
        <v>45623.269404999999</v>
      </c>
      <c r="AY18" s="47">
        <f t="shared" si="22"/>
        <v>14234460.05436</v>
      </c>
      <c r="AZ18" s="48">
        <f t="shared" si="23"/>
        <v>38017.070104999977</v>
      </c>
    </row>
    <row r="19" spans="1:52" x14ac:dyDescent="0.35">
      <c r="A19" s="2" t="s">
        <v>18</v>
      </c>
      <c r="B19" s="2" t="s">
        <v>47</v>
      </c>
      <c r="C19" s="2" t="s">
        <v>29</v>
      </c>
      <c r="D19">
        <v>280</v>
      </c>
      <c r="E19" s="2">
        <v>8</v>
      </c>
      <c r="F19" s="2">
        <v>70</v>
      </c>
      <c r="G19" s="4">
        <v>0.77</v>
      </c>
      <c r="H19" s="36">
        <v>2200</v>
      </c>
      <c r="I19" s="2">
        <f t="shared" si="0"/>
        <v>0.56000000000000005</v>
      </c>
      <c r="J19" s="2">
        <v>500</v>
      </c>
      <c r="K19" s="2">
        <f t="shared" si="1"/>
        <v>416</v>
      </c>
      <c r="L19" s="6">
        <f t="shared" si="2"/>
        <v>53.9</v>
      </c>
      <c r="M19" s="2">
        <f t="shared" si="3"/>
        <v>19600</v>
      </c>
      <c r="N19" s="36">
        <f t="shared" si="4"/>
        <v>118580</v>
      </c>
      <c r="O19" s="36">
        <f>I19*Assumptions!B3*Assumptions!B2</f>
        <v>39542.533800000005</v>
      </c>
      <c r="P19" s="36">
        <f>I19*Assumptions!B7</f>
        <v>5600.0000000000009</v>
      </c>
      <c r="Q19" s="36">
        <f>Data!P19+Assumptions!B4+Assumptions!B5+Assumptions!B6</f>
        <v>61600</v>
      </c>
      <c r="R19" s="36">
        <f t="shared" si="5"/>
        <v>101142.5338</v>
      </c>
      <c r="S19" s="36">
        <f t="shared" si="6"/>
        <v>17437.466199999995</v>
      </c>
      <c r="T19" s="35">
        <f t="shared" si="7"/>
        <v>0.14705233766233763</v>
      </c>
      <c r="U19" s="34" t="s">
        <v>125</v>
      </c>
      <c r="V19" s="35">
        <f t="shared" si="8"/>
        <v>0.70812363999999994</v>
      </c>
      <c r="W19" s="37">
        <f>P19+I19*Assumptions!$B$3*Assumptions!$B$2*1.2+Assumptions!$B$4+Assumptions!$B$5+Assumptions!$B$6</f>
        <v>109051.04055999999</v>
      </c>
      <c r="X19" s="34" t="str">
        <f t="shared" si="9"/>
        <v>Viable</v>
      </c>
      <c r="Y19" s="38" t="str">
        <f>IF(V19&gt;Assumptions!$B$12,"Structurally Weak","Potentially Viable")</f>
        <v>Potentially Viable</v>
      </c>
      <c r="Z19" s="4">
        <f>Assumptions!B$10</f>
        <v>0.08</v>
      </c>
      <c r="AA19" s="37">
        <f t="shared" si="10"/>
        <v>2376</v>
      </c>
      <c r="AB19" s="35">
        <f>MIN(Assumptions!B$12,G19*(1+Z19*Assumptions!B$11))</f>
        <v>0.68991999999999998</v>
      </c>
      <c r="AC19" s="6">
        <f t="shared" si="11"/>
        <v>48.294399999999996</v>
      </c>
      <c r="AD19" s="37">
        <f t="shared" si="12"/>
        <v>114747.4944</v>
      </c>
      <c r="AE19" s="40">
        <f>AD19-(P19+I19*Assumptions!$B$3*Assumptions!$B$2*1.2+Assumptions!$B$4+Assumptions!$B$5+Assumptions!$B$6)</f>
        <v>5696.4538400000019</v>
      </c>
      <c r="AF19" s="40">
        <f t="shared" si="13"/>
        <v>2369724.7974400008</v>
      </c>
      <c r="AG19" s="35">
        <f t="shared" si="14"/>
        <v>4.9643383237133257E-2</v>
      </c>
      <c r="AH19" s="40">
        <f>'Scenario Analysis'!D19</f>
        <v>9528.959440000006</v>
      </c>
      <c r="AI19" s="46" t="str">
        <f t="shared" si="15"/>
        <v>Keep</v>
      </c>
      <c r="AJ19" s="40">
        <f t="shared" si="16"/>
        <v>9528.959440000006</v>
      </c>
      <c r="AK19" s="40">
        <f t="shared" si="17"/>
        <v>3964047.1270400025</v>
      </c>
      <c r="AL19" s="40">
        <f>IF(U19="Y",MIN(H19,Assumptions!$B$13*I19),0)</f>
        <v>0</v>
      </c>
      <c r="AM19" s="6">
        <f>IF(U19="Y",L19*Assumptions!$B$14,0)</f>
        <v>0</v>
      </c>
      <c r="AN19" s="6">
        <f>IF(U19="Y",L19*(1-Assumptions!$B$14),0)</f>
        <v>0</v>
      </c>
      <c r="AO19" s="40">
        <f>IF(U19="Y",AM19*AL19+AN19*H19+L19*Assumptions!$B$9,0)</f>
        <v>0</v>
      </c>
      <c r="AP19" s="47">
        <f>IF(U19="Y",O19*1.2*(1-Assumptions!$B$15),0)</f>
        <v>0</v>
      </c>
      <c r="AQ19" s="40">
        <f>IF(U19="Y",Assumptions!$B$5*(1-Assumptions!$B$16),0)</f>
        <v>0</v>
      </c>
      <c r="AR19" s="40">
        <f>IF(U19="Y",AM19*Assumptions!$B$17,0)</f>
        <v>0</v>
      </c>
      <c r="AS19" s="48">
        <f>IF(U19="Y",AP19+P19+Assumptions!$B$4+AQ19+Assumptions!$B$6,0)</f>
        <v>0</v>
      </c>
      <c r="AT19" s="47">
        <f t="shared" si="18"/>
        <v>0</v>
      </c>
      <c r="AU19" s="47">
        <f t="shared" si="19"/>
        <v>0</v>
      </c>
      <c r="AV19" s="35">
        <f t="shared" si="20"/>
        <v>0</v>
      </c>
      <c r="AW19" s="49" t="str">
        <f t="shared" si="24"/>
        <v>Keep as it is</v>
      </c>
      <c r="AX19" s="47">
        <f t="shared" si="21"/>
        <v>9528.959440000006</v>
      </c>
      <c r="AY19" s="47">
        <f t="shared" si="22"/>
        <v>3964047.1270400025</v>
      </c>
      <c r="AZ19" s="48">
        <f t="shared" si="23"/>
        <v>0</v>
      </c>
    </row>
    <row r="20" spans="1:52" x14ac:dyDescent="0.35">
      <c r="A20" s="2" t="s">
        <v>19</v>
      </c>
      <c r="B20" s="2" t="s">
        <v>48</v>
      </c>
      <c r="C20" s="2" t="s">
        <v>24</v>
      </c>
      <c r="D20">
        <v>220</v>
      </c>
      <c r="E20" s="2">
        <v>7</v>
      </c>
      <c r="F20" s="2">
        <v>70</v>
      </c>
      <c r="G20" s="4">
        <v>0.61</v>
      </c>
      <c r="H20" s="36">
        <v>2100</v>
      </c>
      <c r="I20" s="2">
        <f t="shared" si="0"/>
        <v>0.44</v>
      </c>
      <c r="J20" s="2">
        <v>500</v>
      </c>
      <c r="K20" s="2">
        <f t="shared" si="1"/>
        <v>364</v>
      </c>
      <c r="L20" s="6">
        <f t="shared" si="2"/>
        <v>42.699999999999996</v>
      </c>
      <c r="M20" s="2">
        <f t="shared" si="3"/>
        <v>15400</v>
      </c>
      <c r="N20" s="36">
        <f t="shared" si="4"/>
        <v>89669.999999999985</v>
      </c>
      <c r="O20" s="36">
        <f>I20*Assumptions!B3*Assumptions!B2</f>
        <v>31069.133700000002</v>
      </c>
      <c r="P20" s="36">
        <f>I20*Assumptions!B7</f>
        <v>4400</v>
      </c>
      <c r="Q20" s="36">
        <f>Data!P20+Assumptions!B4+Assumptions!B5+Assumptions!B6</f>
        <v>60400</v>
      </c>
      <c r="R20" s="36">
        <f t="shared" si="5"/>
        <v>91469.133700000006</v>
      </c>
      <c r="S20" s="36">
        <f t="shared" si="6"/>
        <v>-1799.1337000000203</v>
      </c>
      <c r="T20" s="35">
        <f t="shared" si="7"/>
        <v>-2.0063942232630989E-2</v>
      </c>
      <c r="U20" s="34" t="s">
        <v>124</v>
      </c>
      <c r="V20" s="35">
        <f t="shared" si="8"/>
        <v>0.66450993496598632</v>
      </c>
      <c r="W20" s="37">
        <f>P20+I20*Assumptions!$B$3*Assumptions!$B$2*1.2+Assumptions!$B$4+Assumptions!$B$5+Assumptions!$B$6</f>
        <v>97682.960439999995</v>
      </c>
      <c r="X20" s="34" t="str">
        <f t="shared" si="9"/>
        <v>At Risk</v>
      </c>
      <c r="Y20" s="38" t="str">
        <f>IF(V20&gt;Assumptions!$B$12,"Structurally Weak","Potentially Viable")</f>
        <v>Potentially Viable</v>
      </c>
      <c r="Z20" s="4">
        <f>Assumptions!B$10</f>
        <v>0.08</v>
      </c>
      <c r="AA20" s="37">
        <f t="shared" si="10"/>
        <v>2268</v>
      </c>
      <c r="AB20" s="35">
        <f>MIN(Assumptions!B$12,G20*(1+Z20*Assumptions!B$11))</f>
        <v>0.54656000000000005</v>
      </c>
      <c r="AC20" s="6">
        <f t="shared" si="11"/>
        <v>38.2592</v>
      </c>
      <c r="AD20" s="37">
        <f t="shared" si="12"/>
        <v>86771.865600000005</v>
      </c>
      <c r="AE20" s="40">
        <f>AD20-(P20+I20*Assumptions!$B$3*Assumptions!$B$2*1.2+Assumptions!$B$4+Assumptions!$B$5+Assumptions!$B$6)</f>
        <v>-10911.094839999991</v>
      </c>
      <c r="AF20" s="40">
        <f t="shared" si="13"/>
        <v>-3971638.5217599967</v>
      </c>
      <c r="AG20" s="35">
        <f t="shared" si="14"/>
        <v>-0.12574461508408538</v>
      </c>
      <c r="AH20" s="40">
        <f>'Scenario Analysis'!D20</f>
        <v>-8012.9604400000098</v>
      </c>
      <c r="AI20" s="46" t="str">
        <f t="shared" si="15"/>
        <v>Keep</v>
      </c>
      <c r="AJ20" s="40">
        <f t="shared" si="16"/>
        <v>-8012.9604400000098</v>
      </c>
      <c r="AK20" s="40">
        <f t="shared" si="17"/>
        <v>-2916717.6001600036</v>
      </c>
      <c r="AL20" s="40">
        <f>IF(U20="Y",MIN(H20,Assumptions!$B$13*I20),0)</f>
        <v>1100</v>
      </c>
      <c r="AM20" s="6">
        <f>IF(U20="Y",L20*Assumptions!$B$14,0)</f>
        <v>21.349999999999998</v>
      </c>
      <c r="AN20" s="6">
        <f>IF(U20="Y",L20*(1-Assumptions!$B$14),0)</f>
        <v>21.349999999999998</v>
      </c>
      <c r="AO20" s="40">
        <f>IF(U20="Y",AM20*AL20+AN20*H20+L20*Assumptions!$B$9,0)</f>
        <v>83264.999999999985</v>
      </c>
      <c r="AP20" s="47">
        <f>IF(U20="Y",O20*1.2*(1-Assumptions!$B$15),0)</f>
        <v>31690.516374000003</v>
      </c>
      <c r="AQ20" s="40">
        <f>IF(U20="Y",Assumptions!$B$5*(1-Assumptions!$B$16),0)</f>
        <v>8400</v>
      </c>
      <c r="AR20" s="40">
        <f>IF(U20="Y",AM20*Assumptions!$B$17,0)</f>
        <v>32024.999999999996</v>
      </c>
      <c r="AS20" s="48">
        <f>IF(U20="Y",AP20+P20+Assumptions!$B$4+AQ20+Assumptions!$B$6,0)</f>
        <v>86490.516373999999</v>
      </c>
      <c r="AT20" s="47">
        <f t="shared" si="18"/>
        <v>28799.483625999987</v>
      </c>
      <c r="AU20" s="47">
        <f t="shared" si="19"/>
        <v>10483012.039863994</v>
      </c>
      <c r="AV20" s="35">
        <f t="shared" si="20"/>
        <v>0.24980036105473147</v>
      </c>
      <c r="AW20" s="49" t="str">
        <f t="shared" si="24"/>
        <v>UDAN</v>
      </c>
      <c r="AX20" s="47">
        <f t="shared" si="21"/>
        <v>28799.483625999987</v>
      </c>
      <c r="AY20" s="47">
        <f t="shared" si="22"/>
        <v>10483012.039863994</v>
      </c>
      <c r="AZ20" s="48">
        <f t="shared" si="23"/>
        <v>36812.444065999996</v>
      </c>
    </row>
    <row r="21" spans="1:52" x14ac:dyDescent="0.35">
      <c r="A21" s="2" t="s">
        <v>20</v>
      </c>
      <c r="B21" s="2" t="s">
        <v>49</v>
      </c>
      <c r="C21" s="2" t="s">
        <v>29</v>
      </c>
      <c r="D21">
        <v>160</v>
      </c>
      <c r="E21" s="2">
        <v>9</v>
      </c>
      <c r="F21" s="2">
        <v>70</v>
      </c>
      <c r="G21" s="4">
        <v>0.79</v>
      </c>
      <c r="H21" s="36">
        <v>1900</v>
      </c>
      <c r="I21" s="2">
        <f t="shared" si="0"/>
        <v>0.32</v>
      </c>
      <c r="J21" s="2">
        <v>500</v>
      </c>
      <c r="K21" s="2">
        <f t="shared" si="1"/>
        <v>468</v>
      </c>
      <c r="L21" s="6">
        <f t="shared" si="2"/>
        <v>55.300000000000004</v>
      </c>
      <c r="M21" s="2">
        <f t="shared" si="3"/>
        <v>11200</v>
      </c>
      <c r="N21" s="36">
        <f t="shared" si="4"/>
        <v>105070.00000000001</v>
      </c>
      <c r="O21" s="36">
        <f>I21*Assumptions!B3*Assumptions!B2</f>
        <v>22595.733600000003</v>
      </c>
      <c r="P21" s="36">
        <f>I21*Assumptions!B7</f>
        <v>3200</v>
      </c>
      <c r="Q21" s="36">
        <f>Data!P21+Assumptions!B4+Assumptions!B5+Assumptions!B6</f>
        <v>59200</v>
      </c>
      <c r="R21" s="36">
        <f t="shared" si="5"/>
        <v>81795.733600000007</v>
      </c>
      <c r="S21" s="36">
        <f t="shared" si="6"/>
        <v>23274.266400000008</v>
      </c>
      <c r="T21" s="35">
        <f t="shared" si="7"/>
        <v>0.22151200532978019</v>
      </c>
      <c r="U21" s="34" t="s">
        <v>124</v>
      </c>
      <c r="V21" s="35">
        <f t="shared" si="8"/>
        <v>0.64898406255639096</v>
      </c>
      <c r="W21" s="37">
        <f>P21+I21*Assumptions!$B$3*Assumptions!$B$2*1.2+Assumptions!$B$4+Assumptions!$B$5+Assumptions!$B$6</f>
        <v>86314.880319999997</v>
      </c>
      <c r="X21" s="34" t="str">
        <f t="shared" si="9"/>
        <v>Viable</v>
      </c>
      <c r="Y21" s="38" t="str">
        <f>IF(V21&gt;Assumptions!$B$12,"Structurally Weak","Potentially Viable")</f>
        <v>Potentially Viable</v>
      </c>
      <c r="Z21" s="4">
        <f>Assumptions!B$10</f>
        <v>0.08</v>
      </c>
      <c r="AA21" s="37">
        <f t="shared" si="10"/>
        <v>2052</v>
      </c>
      <c r="AB21" s="35">
        <f>MIN(Assumptions!B$12,G21*(1+Z21*Assumptions!B$11))</f>
        <v>0.70784000000000002</v>
      </c>
      <c r="AC21" s="6">
        <f t="shared" si="11"/>
        <v>49.5488</v>
      </c>
      <c r="AD21" s="37">
        <f t="shared" si="12"/>
        <v>101674.1376</v>
      </c>
      <c r="AE21" s="40">
        <f>AD21-(P21+I21*Assumptions!$B$3*Assumptions!$B$2*1.2+Assumptions!$B$4+Assumptions!$B$5+Assumptions!$B$6)</f>
        <v>15359.257280000005</v>
      </c>
      <c r="AF21" s="40">
        <f t="shared" si="13"/>
        <v>7188132.4070400028</v>
      </c>
      <c r="AG21" s="35">
        <f t="shared" si="14"/>
        <v>0.15106356092662845</v>
      </c>
      <c r="AH21" s="40">
        <f>'Scenario Analysis'!D21</f>
        <v>18755.119680000018</v>
      </c>
      <c r="AI21" s="46" t="str">
        <f t="shared" si="15"/>
        <v>Keep</v>
      </c>
      <c r="AJ21" s="40">
        <f t="shared" si="16"/>
        <v>18755.119680000018</v>
      </c>
      <c r="AK21" s="40">
        <f t="shared" si="17"/>
        <v>8777396.0102400091</v>
      </c>
      <c r="AL21" s="40">
        <f>IF(U21="Y",MIN(H21,Assumptions!$B$13*I21),0)</f>
        <v>800</v>
      </c>
      <c r="AM21" s="6">
        <f>IF(U21="Y",L21*Assumptions!$B$14,0)</f>
        <v>27.650000000000002</v>
      </c>
      <c r="AN21" s="6">
        <f>IF(U21="Y",L21*(1-Assumptions!$B$14),0)</f>
        <v>27.650000000000002</v>
      </c>
      <c r="AO21" s="40">
        <f>IF(U21="Y",AM21*AL21+AN21*H21+L21*Assumptions!$B$9,0)</f>
        <v>94010</v>
      </c>
      <c r="AP21" s="47">
        <f>IF(U21="Y",O21*1.2*(1-Assumptions!$B$15),0)</f>
        <v>23047.648272000002</v>
      </c>
      <c r="AQ21" s="40">
        <f>IF(U21="Y",Assumptions!$B$5*(1-Assumptions!$B$16),0)</f>
        <v>8400</v>
      </c>
      <c r="AR21" s="40">
        <f>IF(U21="Y",AM21*Assumptions!$B$17,0)</f>
        <v>41475</v>
      </c>
      <c r="AS21" s="48">
        <f>IF(U21="Y",AP21+P21+Assumptions!$B$4+AQ21+Assumptions!$B$6,0)</f>
        <v>76647.648272000006</v>
      </c>
      <c r="AT21" s="47">
        <f t="shared" si="18"/>
        <v>58837.351727999994</v>
      </c>
      <c r="AU21" s="47">
        <f t="shared" si="19"/>
        <v>27535880.608703997</v>
      </c>
      <c r="AV21" s="35">
        <f t="shared" si="20"/>
        <v>0.43427207239177762</v>
      </c>
      <c r="AW21" s="49" t="str">
        <f t="shared" si="24"/>
        <v>UDAN</v>
      </c>
      <c r="AX21" s="47">
        <f t="shared" si="21"/>
        <v>58837.351727999994</v>
      </c>
      <c r="AY21" s="47">
        <f t="shared" si="22"/>
        <v>27535880.608703997</v>
      </c>
      <c r="AZ21" s="48">
        <f t="shared" si="23"/>
        <v>40082.232047999976</v>
      </c>
    </row>
    <row r="22" spans="1:52" x14ac:dyDescent="0.35">
      <c r="AE22" s="37"/>
    </row>
  </sheetData>
  <conditionalFormatting sqref="U2:U20">
    <cfRule type="containsText" dxfId="12" priority="5" operator="containsText" text="N">
      <formula>NOT(ISERROR(SEARCH("N",U2)))</formula>
    </cfRule>
  </conditionalFormatting>
  <conditionalFormatting sqref="U2:U21">
    <cfRule type="containsText" dxfId="11" priority="6" operator="containsText" text="Y">
      <formula>NOT(ISERROR(SEARCH("Y",U2)))</formula>
    </cfRule>
  </conditionalFormatting>
  <conditionalFormatting sqref="X2:X21">
    <cfRule type="containsText" dxfId="10" priority="7" operator="containsText" text="v">
      <formula>NOT(ISERROR(SEARCH("v",X2)))</formula>
    </cfRule>
    <cfRule type="containsText" dxfId="9" priority="8" operator="containsText" text="At ">
      <formula>NOT(ISERROR(SEARCH("At ",X2)))</formula>
    </cfRule>
  </conditionalFormatting>
  <conditionalFormatting sqref="AG2:AG21">
    <cfRule type="cellIs" dxfId="7" priority="4" operator="equal">
      <formula>"-"</formula>
    </cfRule>
  </conditionalFormatting>
  <conditionalFormatting sqref="AV2:AV21">
    <cfRule type="cellIs" dxfId="5" priority="2" operator="equal">
      <formula>"-"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21CB1769-584E-43C5-B18A-6DDBB4369F43}">
            <xm:f>NOT(ISERROR(SEARCH("-",AG2)))</xm:f>
            <xm:f>"-"</xm:f>
            <x14:dxf>
              <font>
                <color rgb="FF9C0006"/>
              </font>
            </x14:dxf>
          </x14:cfRule>
          <xm:sqref>AG2:AG21</xm:sqref>
        </x14:conditionalFormatting>
        <x14:conditionalFormatting xmlns:xm="http://schemas.microsoft.com/office/excel/2006/main">
          <x14:cfRule type="containsText" priority="1" operator="containsText" id="{C44B2200-A12E-4AEF-90B4-9CD3453C65F3}">
            <xm:f>NOT(ISERROR(SEARCH("-",AV2)))</xm:f>
            <xm:f>"-"</xm:f>
            <x14:dxf>
              <font>
                <color rgb="FF9C0006"/>
              </font>
            </x14:dxf>
          </x14:cfRule>
          <xm:sqref>AV2:AV21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26E9-700E-4917-AA55-BA942B354A16}">
  <dimension ref="A1:I37"/>
  <sheetViews>
    <sheetView workbookViewId="0">
      <selection activeCell="D16" sqref="D16"/>
    </sheetView>
  </sheetViews>
  <sheetFormatPr defaultRowHeight="14.5" x14ac:dyDescent="0.35"/>
  <cols>
    <col min="1" max="1" width="24.54296875" style="42" customWidth="1"/>
    <col min="2" max="2" width="15.08984375" style="42" customWidth="1"/>
    <col min="3" max="3" width="15.6328125" style="42" customWidth="1"/>
    <col min="4" max="4" width="15.81640625" customWidth="1"/>
    <col min="5" max="5" width="16.453125" customWidth="1"/>
    <col min="6" max="6" width="19.81640625" customWidth="1"/>
    <col min="7" max="7" width="11.453125" customWidth="1"/>
    <col min="8" max="8" width="14.90625" customWidth="1"/>
    <col min="9" max="9" width="21.7265625" customWidth="1"/>
    <col min="10" max="10" width="13.36328125" customWidth="1"/>
  </cols>
  <sheetData>
    <row r="1" spans="1:6" ht="28" customHeight="1" x14ac:dyDescent="0.35">
      <c r="A1" s="51" t="s">
        <v>156</v>
      </c>
      <c r="B1" s="51" t="s">
        <v>157</v>
      </c>
      <c r="C1" s="51" t="s">
        <v>162</v>
      </c>
      <c r="D1" s="51" t="s">
        <v>163</v>
      </c>
      <c r="E1" s="44"/>
      <c r="F1" s="44"/>
    </row>
    <row r="2" spans="1:6" x14ac:dyDescent="0.35">
      <c r="A2" s="2" t="s">
        <v>82</v>
      </c>
      <c r="B2" s="40">
        <f>SUMPRODUCT(Data!S2:S21,Data!K2:K21)</f>
        <v>194250678.5765</v>
      </c>
      <c r="C2" s="35">
        <f>B2/SUMPRODUCT(Data!N2:N21,Data!K2:K21)</f>
        <v>0.1588473784807489</v>
      </c>
      <c r="D2" s="44">
        <f>B2-$B$3</f>
        <v>97559904.284699947</v>
      </c>
      <c r="E2" s="43"/>
      <c r="F2" s="44"/>
    </row>
    <row r="3" spans="1:6" ht="18.5" customHeight="1" x14ac:dyDescent="0.35">
      <c r="A3" s="2" t="s">
        <v>158</v>
      </c>
      <c r="B3" s="40" cm="1">
        <f t="array" ref="B3">SUM(Data!AH2:AH21*Data!K2:K21)</f>
        <v>96690774.291800052</v>
      </c>
      <c r="C3" s="35">
        <f>B3/SUMPRODUCT(Data!N2:N21,Data!K2:K21)</f>
        <v>7.9068326206528552E-2</v>
      </c>
      <c r="D3" s="44">
        <f t="shared" ref="D3:D6" si="0">B3-$B$3</f>
        <v>0</v>
      </c>
      <c r="E3" s="43"/>
      <c r="F3" s="44"/>
    </row>
    <row r="4" spans="1:6" ht="19.5" customHeight="1" x14ac:dyDescent="0.35">
      <c r="A4" s="2" t="s">
        <v>159</v>
      </c>
      <c r="B4" s="40">
        <f>SUM(Data!AF2:AF21)</f>
        <v>57167415.507800087</v>
      </c>
      <c r="C4" s="35">
        <f>B4/SUMPRODUCT(Data!AD2:AD21,Data!K2:K21)</f>
        <v>4.8309695567262501E-2</v>
      </c>
      <c r="D4" s="44">
        <f t="shared" si="0"/>
        <v>-39523358.783999965</v>
      </c>
      <c r="E4" s="43"/>
      <c r="F4" s="44"/>
    </row>
    <row r="5" spans="1:6" ht="20.5" customHeight="1" x14ac:dyDescent="0.35">
      <c r="A5" s="2" t="s">
        <v>160</v>
      </c>
      <c r="B5" s="40">
        <f>SUM(Data!AK2:AK21)</f>
        <v>97796890.637680024</v>
      </c>
      <c r="C5" s="35">
        <f>B5/SUMPRODUCT(Data!N2:N21,Data!K2:K21)</f>
        <v>7.9972846505378073E-2</v>
      </c>
      <c r="D5" s="44">
        <f t="shared" si="0"/>
        <v>1106116.345879972</v>
      </c>
      <c r="E5" s="43"/>
      <c r="F5" s="44"/>
    </row>
    <row r="6" spans="1:6" ht="18" customHeight="1" x14ac:dyDescent="0.35">
      <c r="A6" s="2" t="s">
        <v>161</v>
      </c>
      <c r="B6" s="40">
        <f>SUM(Data!AU2:AU21)</f>
        <v>288464181.51470399</v>
      </c>
      <c r="C6" s="35">
        <f>B6/(SUMPRODUCT(Data!AO2:AO21,Data!K2:K21)+SUMPRODUCT(Data!AR2:AR21,Data!K2:K21))</f>
        <v>0.33796501091757142</v>
      </c>
      <c r="D6" s="44">
        <f t="shared" si="0"/>
        <v>191773407.22290394</v>
      </c>
      <c r="E6" s="43"/>
      <c r="F6" s="44"/>
    </row>
    <row r="7" spans="1:6" ht="20" customHeight="1" x14ac:dyDescent="0.35">
      <c r="A7" s="2" t="s">
        <v>153</v>
      </c>
      <c r="B7" s="40">
        <f>SUM(Data!AY2:AY21)</f>
        <v>326785759.78214395</v>
      </c>
      <c r="C7" s="35" cm="1">
        <f t="array" ref="C7">B7/(SUMPRODUCT((Data!AW2:AW21="UDAN")*(Data!AO2:AO21+Data!AR2:AR21)*Data!K2:K21)+SUMPRODUCT((Data!AW2:AW21="Fare Hike")*Data!AD2:AD21*Data!K2:K21)+SUMPRODUCT((Data!AW2:AW21="Keep as is")*Data!N2:N21*Data!K2:K21))</f>
        <v>0.38286262194687609</v>
      </c>
      <c r="D7" s="44">
        <f>B7-$B$3</f>
        <v>230094985.4903439</v>
      </c>
      <c r="E7" s="43"/>
      <c r="F7" s="44"/>
    </row>
    <row r="8" spans="1:6" ht="16" customHeight="1" x14ac:dyDescent="0.35">
      <c r="D8" s="43"/>
      <c r="E8" s="43"/>
      <c r="F8" s="44"/>
    </row>
    <row r="9" spans="1:6" x14ac:dyDescent="0.35">
      <c r="A9" s="51" t="s">
        <v>164</v>
      </c>
      <c r="B9" s="51" t="s">
        <v>153</v>
      </c>
      <c r="D9" s="43"/>
      <c r="E9" s="43"/>
      <c r="F9" s="44"/>
    </row>
    <row r="10" spans="1:6" x14ac:dyDescent="0.35">
      <c r="A10" t="s">
        <v>165</v>
      </c>
      <c r="B10" s="49" t="s">
        <v>166</v>
      </c>
      <c r="D10" s="43"/>
      <c r="E10" s="43"/>
      <c r="F10" s="44"/>
    </row>
    <row r="11" spans="1:6" x14ac:dyDescent="0.35">
      <c r="A11" t="s">
        <v>167</v>
      </c>
      <c r="B11" s="49" t="s">
        <v>153</v>
      </c>
      <c r="D11" s="43"/>
      <c r="E11" s="43"/>
      <c r="F11" s="44"/>
    </row>
    <row r="12" spans="1:6" x14ac:dyDescent="0.35">
      <c r="A12" t="s">
        <v>168</v>
      </c>
      <c r="B12" s="52">
        <f>B7</f>
        <v>326785759.78214395</v>
      </c>
      <c r="D12" s="43"/>
      <c r="E12" s="43"/>
      <c r="F12" s="44"/>
    </row>
    <row r="13" spans="1:6" x14ac:dyDescent="0.35">
      <c r="A13" t="s">
        <v>162</v>
      </c>
      <c r="B13" s="53">
        <f>C7</f>
        <v>0.38286262194687609</v>
      </c>
      <c r="D13" s="43"/>
      <c r="E13" s="43"/>
      <c r="F13" s="44"/>
    </row>
    <row r="14" spans="1:6" x14ac:dyDescent="0.35">
      <c r="A14" t="s">
        <v>163</v>
      </c>
      <c r="B14" s="44">
        <f>D7</f>
        <v>230094985.4903439</v>
      </c>
      <c r="D14" s="43"/>
      <c r="E14" s="43"/>
      <c r="F14" s="44"/>
    </row>
    <row r="15" spans="1:6" x14ac:dyDescent="0.35">
      <c r="D15" s="43"/>
      <c r="E15" s="43"/>
      <c r="F15" s="44"/>
    </row>
    <row r="16" spans="1:6" x14ac:dyDescent="0.35">
      <c r="D16" s="43"/>
      <c r="E16" s="43"/>
      <c r="F16" s="44"/>
    </row>
    <row r="17" spans="1:9" x14ac:dyDescent="0.35">
      <c r="A17" s="54" t="s">
        <v>0</v>
      </c>
      <c r="B17" s="54" t="s">
        <v>169</v>
      </c>
      <c r="C17" s="54" t="s">
        <v>170</v>
      </c>
      <c r="D17" s="54" t="s">
        <v>153</v>
      </c>
      <c r="E17" s="54" t="s">
        <v>154</v>
      </c>
      <c r="F17" s="54" t="s">
        <v>171</v>
      </c>
      <c r="H17" s="54" t="s">
        <v>156</v>
      </c>
      <c r="I17" s="54" t="s">
        <v>173</v>
      </c>
    </row>
    <row r="18" spans="1:9" x14ac:dyDescent="0.35">
      <c r="A18" s="42" t="str">
        <f>Data!A2</f>
        <v>R01</v>
      </c>
      <c r="B18" s="42" t="str">
        <f>Data!B2</f>
        <v>Kanpur</v>
      </c>
      <c r="C18" s="42" t="str">
        <f>Data!C2</f>
        <v>Delhi</v>
      </c>
      <c r="D18" s="43" t="str">
        <f>Data!AW2</f>
        <v>UDAN</v>
      </c>
      <c r="E18" s="43">
        <f>Data!AX2</f>
        <v>84898.967252000002</v>
      </c>
      <c r="F18" s="44">
        <f>Data!AZ2</f>
        <v>49544.888131999993</v>
      </c>
      <c r="H18" s="2" t="s">
        <v>174</v>
      </c>
      <c r="I18">
        <f>COUNTIF(Data!AW2:AW21,"UDAN")</f>
        <v>13</v>
      </c>
    </row>
    <row r="19" spans="1:9" x14ac:dyDescent="0.35">
      <c r="A19" s="42" t="str">
        <f>Data!A3</f>
        <v>R02</v>
      </c>
      <c r="B19" s="42" t="str">
        <f>Data!B3</f>
        <v>Jodhpur</v>
      </c>
      <c r="C19" s="42" t="str">
        <f>Data!C3</f>
        <v>Delhi</v>
      </c>
      <c r="D19" s="43" t="str">
        <f>Data!AW3</f>
        <v>Keep as it is</v>
      </c>
      <c r="E19" s="43">
        <f>Data!AX3</f>
        <v>18693.878820000013</v>
      </c>
      <c r="F19" s="44">
        <f>Data!AZ3</f>
        <v>0</v>
      </c>
      <c r="H19" s="2" t="s">
        <v>177</v>
      </c>
      <c r="I19">
        <f>COUNTIF(Data!AW2:AW21,"Keep as it is")</f>
        <v>6</v>
      </c>
    </row>
    <row r="20" spans="1:9" x14ac:dyDescent="0.35">
      <c r="A20" s="42" t="str">
        <f>Data!A4</f>
        <v>R03</v>
      </c>
      <c r="B20" s="42" t="str">
        <f>Data!B4</f>
        <v xml:space="preserve">Bhopal </v>
      </c>
      <c r="C20" s="42" t="str">
        <f>Data!C4</f>
        <v>Mumbai</v>
      </c>
      <c r="D20" s="43" t="str">
        <f>Data!AW4</f>
        <v>Rationalize</v>
      </c>
      <c r="E20" s="43">
        <f>Data!AX4</f>
        <v>0</v>
      </c>
      <c r="F20" s="44">
        <f>Data!AZ4</f>
        <v>3038.7811699999729</v>
      </c>
      <c r="H20" s="2" t="s">
        <v>175</v>
      </c>
      <c r="I20">
        <f>COUNTIF(Data!AW2:AW21,"Rationalize")</f>
        <v>1</v>
      </c>
    </row>
    <row r="21" spans="1:9" x14ac:dyDescent="0.35">
      <c r="A21" s="42" t="str">
        <f>Data!A5</f>
        <v>R04</v>
      </c>
      <c r="B21" s="42" t="str">
        <f>Data!B5</f>
        <v>Coimbatore</v>
      </c>
      <c r="C21" s="42" t="str">
        <f>Data!C5</f>
        <v xml:space="preserve">Chennai </v>
      </c>
      <c r="D21" s="43" t="str">
        <f>Data!AW5</f>
        <v>Keep as it is</v>
      </c>
      <c r="E21" s="43">
        <f>Data!AX5</f>
        <v>21909.499249999993</v>
      </c>
      <c r="F21" s="44">
        <f>Data!AZ5</f>
        <v>0</v>
      </c>
      <c r="H21" s="2" t="s">
        <v>176</v>
      </c>
      <c r="I21">
        <f>COUNTIF(Data!AW2:AW21,"Fare Hike")</f>
        <v>0</v>
      </c>
    </row>
    <row r="22" spans="1:9" x14ac:dyDescent="0.35">
      <c r="A22" s="42" t="str">
        <f>Data!A6</f>
        <v>R05</v>
      </c>
      <c r="B22" s="42" t="str">
        <f>Data!B6</f>
        <v>Rajkot</v>
      </c>
      <c r="C22" s="42" t="str">
        <f>Data!C6</f>
        <v xml:space="preserve">Mumbai </v>
      </c>
      <c r="D22" s="43" t="str">
        <f>Data!AW6</f>
        <v>UDAN</v>
      </c>
      <c r="E22" s="43">
        <f>Data!AX6</f>
        <v>65385.879320000007</v>
      </c>
      <c r="F22" s="44">
        <f>Data!AZ6</f>
        <v>43103.080119999999</v>
      </c>
    </row>
    <row r="23" spans="1:9" x14ac:dyDescent="0.35">
      <c r="A23" s="42" t="str">
        <f>Data!A7</f>
        <v>R06</v>
      </c>
      <c r="B23" s="42" t="str">
        <f>Data!B7</f>
        <v>Varanasi</v>
      </c>
      <c r="C23" s="42" t="str">
        <f>Data!C7</f>
        <v>Delhi</v>
      </c>
      <c r="D23" s="43" t="str">
        <f>Data!AW7</f>
        <v>Keep as it is</v>
      </c>
      <c r="E23" s="43">
        <f>Data!AX7</f>
        <v>2491.118679999985</v>
      </c>
      <c r="F23" s="44">
        <f>Data!AZ7</f>
        <v>0</v>
      </c>
    </row>
    <row r="24" spans="1:9" x14ac:dyDescent="0.35">
      <c r="A24" s="42" t="str">
        <f>Data!A8</f>
        <v>R07</v>
      </c>
      <c r="B24" s="42" t="str">
        <f>Data!B8</f>
        <v>Jabalpur</v>
      </c>
      <c r="C24" s="42" t="str">
        <f>Data!C8</f>
        <v>Delhi</v>
      </c>
      <c r="D24" s="43" t="str">
        <f>Data!AW8</f>
        <v>UDAN</v>
      </c>
      <c r="E24" s="43">
        <f>Data!AX8</f>
        <v>49596.538809999998</v>
      </c>
      <c r="F24" s="44">
        <f>Data!AZ8</f>
        <v>55944.140209999983</v>
      </c>
    </row>
    <row r="25" spans="1:9" x14ac:dyDescent="0.35">
      <c r="A25" s="42" t="str">
        <f>Data!A9</f>
        <v>R08</v>
      </c>
      <c r="B25" s="42" t="str">
        <f>Data!B9</f>
        <v>Aurangabad</v>
      </c>
      <c r="C25" s="42" t="str">
        <f>Data!C9</f>
        <v>Mumbai</v>
      </c>
      <c r="D25" s="43" t="str">
        <f>Data!AW9</f>
        <v>Keep as it is</v>
      </c>
      <c r="E25" s="43">
        <f>Data!AX9</f>
        <v>14335.559339999993</v>
      </c>
      <c r="F25" s="44">
        <f>Data!AZ9</f>
        <v>0</v>
      </c>
    </row>
    <row r="26" spans="1:9" x14ac:dyDescent="0.35">
      <c r="A26" s="42" t="str">
        <f>Data!A10</f>
        <v>R09</v>
      </c>
      <c r="B26" s="42" t="str">
        <f>Data!B10</f>
        <v>Belgavi</v>
      </c>
      <c r="C26" s="42" t="str">
        <f>Data!C10</f>
        <v xml:space="preserve">Bengaluru </v>
      </c>
      <c r="D26" s="43" t="str">
        <f>Data!AW10</f>
        <v>UDAN</v>
      </c>
      <c r="E26" s="43">
        <f>Data!AX10</f>
        <v>44839.703456000017</v>
      </c>
      <c r="F26" s="44">
        <f>Data!AZ10</f>
        <v>44219.464096000011</v>
      </c>
    </row>
    <row r="27" spans="1:9" x14ac:dyDescent="0.35">
      <c r="A27" s="42" t="str">
        <f>Data!A11</f>
        <v>R10</v>
      </c>
      <c r="B27" s="42" t="str">
        <f>Data!B11</f>
        <v xml:space="preserve">Tirupati </v>
      </c>
      <c r="C27" s="42" t="str">
        <f>Data!C11</f>
        <v xml:space="preserve">Hyderabad </v>
      </c>
      <c r="D27" s="43" t="str">
        <f>Data!AW11</f>
        <v>Keep as it is</v>
      </c>
      <c r="E27" s="43">
        <f>Data!AX11</f>
        <v>3844.7190800000099</v>
      </c>
      <c r="F27" s="44">
        <f>Data!AZ11</f>
        <v>0</v>
      </c>
    </row>
    <row r="28" spans="1:9" x14ac:dyDescent="0.35">
      <c r="A28" s="42" t="str">
        <f>Data!A12</f>
        <v>R11</v>
      </c>
      <c r="B28" s="42" t="str">
        <f>Data!B12</f>
        <v>Bikaner</v>
      </c>
      <c r="C28" s="42" t="str">
        <f>Data!C12</f>
        <v xml:space="preserve">Delhi </v>
      </c>
      <c r="D28" s="43" t="str">
        <f>Data!AW12</f>
        <v>UDAN</v>
      </c>
      <c r="E28" s="43">
        <f>Data!AX12</f>
        <v>55132.055184000012</v>
      </c>
      <c r="F28" s="44">
        <f>Data!AZ12</f>
        <v>42826.696144000001</v>
      </c>
    </row>
    <row r="29" spans="1:9" x14ac:dyDescent="0.35">
      <c r="A29" s="42" t="str">
        <f>Data!A13</f>
        <v>R12</v>
      </c>
      <c r="B29" s="42" t="str">
        <f>Data!B13</f>
        <v xml:space="preserve">Jamnagar </v>
      </c>
      <c r="C29" s="42" t="str">
        <f>Data!C13</f>
        <v xml:space="preserve">Mumbai </v>
      </c>
      <c r="D29" s="43" t="str">
        <f>Data!AW13</f>
        <v>UDAN</v>
      </c>
      <c r="E29" s="43">
        <f>Data!AX13</f>
        <v>58877.055184000012</v>
      </c>
      <c r="F29" s="44">
        <f>Data!AZ13</f>
        <v>48741.696144000001</v>
      </c>
    </row>
    <row r="30" spans="1:9" x14ac:dyDescent="0.35">
      <c r="A30" s="42" t="str">
        <f>Data!A14</f>
        <v>R13</v>
      </c>
      <c r="B30" s="42" t="str">
        <f>Data!B14</f>
        <v>Kolhapur</v>
      </c>
      <c r="C30" s="42" t="str">
        <f>Data!C14</f>
        <v>Mumbai</v>
      </c>
      <c r="D30" s="43" t="str">
        <f>Data!AW14</f>
        <v>UDAN</v>
      </c>
      <c r="E30" s="43">
        <f>Data!AX14</f>
        <v>58621.835353999995</v>
      </c>
      <c r="F30" s="44">
        <f>Data!AZ14</f>
        <v>50539.676114000002</v>
      </c>
    </row>
    <row r="31" spans="1:9" x14ac:dyDescent="0.35">
      <c r="A31" s="42" t="str">
        <f>Data!A15</f>
        <v>R14</v>
      </c>
      <c r="B31" s="42" t="str">
        <f>Data!B15</f>
        <v>Gwalior</v>
      </c>
      <c r="C31" s="42" t="str">
        <f>Data!C15</f>
        <v>Delhi</v>
      </c>
      <c r="D31" s="43" t="str">
        <f>Data!AW15</f>
        <v>UDAN</v>
      </c>
      <c r="E31" s="43">
        <f>Data!AX15</f>
        <v>60510.659489999991</v>
      </c>
      <c r="F31" s="44">
        <f>Data!AZ15</f>
        <v>47351.060089999984</v>
      </c>
    </row>
    <row r="32" spans="1:9" x14ac:dyDescent="0.35">
      <c r="A32" s="42" t="str">
        <f>Data!A16</f>
        <v>R15</v>
      </c>
      <c r="B32" s="42" t="str">
        <f>Data!B16</f>
        <v>Hubali</v>
      </c>
      <c r="C32" s="42" t="str">
        <f>Data!C16</f>
        <v xml:space="preserve">Bengaluru </v>
      </c>
      <c r="D32" s="43" t="str">
        <f>Data!AW16</f>
        <v>UDAN</v>
      </c>
      <c r="E32" s="43">
        <f>Data!AX16</f>
        <v>45680.879320000007</v>
      </c>
      <c r="F32" s="44">
        <f>Data!AZ16</f>
        <v>48108.080119999984</v>
      </c>
    </row>
    <row r="33" spans="1:6" x14ac:dyDescent="0.35">
      <c r="A33" s="42" t="str">
        <f>Data!A17</f>
        <v>R16</v>
      </c>
      <c r="B33" s="42" t="str">
        <f>Data!B17</f>
        <v>Diu</v>
      </c>
      <c r="C33" s="42" t="str">
        <f>Data!C17</f>
        <v>Mumbai</v>
      </c>
      <c r="D33" s="43" t="str">
        <f>Data!AW17</f>
        <v>UDAN</v>
      </c>
      <c r="E33" s="43">
        <f>Data!AX17</f>
        <v>37317.055183999983</v>
      </c>
      <c r="F33" s="44">
        <f>Data!AZ17</f>
        <v>38101.696144000001</v>
      </c>
    </row>
    <row r="34" spans="1:6" x14ac:dyDescent="0.35">
      <c r="A34" s="42" t="str">
        <f>Data!A18</f>
        <v>R17</v>
      </c>
      <c r="B34" s="42" t="str">
        <f>Data!B18</f>
        <v>Kishangarh</v>
      </c>
      <c r="C34" s="42" t="str">
        <f>Data!C18</f>
        <v>Delhi</v>
      </c>
      <c r="D34" s="43" t="str">
        <f>Data!AW18</f>
        <v>UDAN</v>
      </c>
      <c r="E34" s="43">
        <f>Data!AX18</f>
        <v>45623.269404999999</v>
      </c>
      <c r="F34" s="44">
        <f>Data!AZ18</f>
        <v>38017.070104999977</v>
      </c>
    </row>
    <row r="35" spans="1:6" x14ac:dyDescent="0.35">
      <c r="A35" s="42" t="str">
        <f>Data!A19</f>
        <v>R18</v>
      </c>
      <c r="B35" s="42" t="str">
        <f>Data!B19</f>
        <v xml:space="preserve">Salem </v>
      </c>
      <c r="C35" s="42" t="str">
        <f>Data!C19</f>
        <v xml:space="preserve">Chennai </v>
      </c>
      <c r="D35" s="43" t="str">
        <f>Data!AW19</f>
        <v>Keep as it is</v>
      </c>
      <c r="E35" s="43">
        <f>Data!AX19</f>
        <v>9528.959440000006</v>
      </c>
      <c r="F35" s="44">
        <f>Data!AZ19</f>
        <v>0</v>
      </c>
    </row>
    <row r="36" spans="1:6" x14ac:dyDescent="0.35">
      <c r="A36" s="42" t="str">
        <f>Data!A20</f>
        <v>R19</v>
      </c>
      <c r="B36" s="42" t="str">
        <f>Data!B20</f>
        <v>Patnagar</v>
      </c>
      <c r="C36" s="42" t="str">
        <f>Data!C20</f>
        <v>Delhi</v>
      </c>
      <c r="D36" s="43" t="str">
        <f>Data!AW20</f>
        <v>UDAN</v>
      </c>
      <c r="E36" s="43">
        <f>Data!AX20</f>
        <v>28799.483625999987</v>
      </c>
      <c r="F36" s="44">
        <f>Data!AZ20</f>
        <v>36812.444065999996</v>
      </c>
    </row>
    <row r="37" spans="1:6" x14ac:dyDescent="0.35">
      <c r="A37" s="42" t="str">
        <f>Data!A21</f>
        <v>R20</v>
      </c>
      <c r="B37" s="42" t="str">
        <f>Data!B21</f>
        <v xml:space="preserve">Puducherry </v>
      </c>
      <c r="C37" s="42" t="str">
        <f>Data!C21</f>
        <v xml:space="preserve">Chennai </v>
      </c>
      <c r="D37" s="43" t="str">
        <f>Data!AW21</f>
        <v>UDAN</v>
      </c>
      <c r="E37" s="43">
        <f>Data!AX21</f>
        <v>58837.351727999994</v>
      </c>
      <c r="F37" s="44">
        <f>Data!AZ21</f>
        <v>40082.232047999976</v>
      </c>
    </row>
  </sheetData>
  <conditionalFormatting sqref="C2:C7">
    <cfRule type="cellIs" dxfId="3" priority="2" operator="equal">
      <formula>"-"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929D1C9-0705-48F0-9A01-83618A60418B}">
            <xm:f>NOT(ISERROR(SEARCH("-",C2)))</xm:f>
            <xm:f>"-"</xm:f>
            <x14:dxf>
              <font>
                <color rgb="FF9C0006"/>
              </font>
            </x14:dxf>
          </x14:cfRule>
          <xm:sqref>C2:C7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D8F1-1B5C-4FCF-8742-B235AB7DB402}">
  <dimension ref="A1:C17"/>
  <sheetViews>
    <sheetView workbookViewId="0">
      <pane ySplit="1" topLeftCell="A2" activePane="bottomLeft" state="frozen"/>
      <selection pane="bottomLeft" activeCell="C21" sqref="C21"/>
    </sheetView>
  </sheetViews>
  <sheetFormatPr defaultRowHeight="14.5" x14ac:dyDescent="0.35"/>
  <cols>
    <col min="1" max="1" width="29.7265625" style="25" customWidth="1"/>
    <col min="2" max="2" width="16.36328125" style="25" customWidth="1"/>
    <col min="3" max="3" width="13.54296875" style="28" customWidth="1"/>
    <col min="4" max="16384" width="8.7265625" style="25"/>
  </cols>
  <sheetData>
    <row r="1" spans="1:3" x14ac:dyDescent="0.35">
      <c r="A1" s="23" t="s">
        <v>60</v>
      </c>
      <c r="B1" s="24" t="s">
        <v>61</v>
      </c>
      <c r="C1" s="24" t="s">
        <v>62</v>
      </c>
    </row>
    <row r="2" spans="1:3" x14ac:dyDescent="0.35">
      <c r="A2" s="26" t="s">
        <v>63</v>
      </c>
      <c r="B2" s="30">
        <v>83072.55</v>
      </c>
      <c r="C2" s="27" t="s">
        <v>64</v>
      </c>
    </row>
    <row r="3" spans="1:3" x14ac:dyDescent="0.35">
      <c r="A3" s="26" t="s">
        <v>65</v>
      </c>
      <c r="B3" s="27">
        <v>0.85</v>
      </c>
      <c r="C3" s="27" t="s">
        <v>66</v>
      </c>
    </row>
    <row r="4" spans="1:3" x14ac:dyDescent="0.35">
      <c r="A4" s="26" t="s">
        <v>67</v>
      </c>
      <c r="B4" s="30">
        <v>22000</v>
      </c>
      <c r="C4" s="27" t="s">
        <v>68</v>
      </c>
    </row>
    <row r="5" spans="1:3" x14ac:dyDescent="0.35">
      <c r="A5" s="26" t="s">
        <v>69</v>
      </c>
      <c r="B5" s="30">
        <v>14000</v>
      </c>
      <c r="C5" s="27" t="s">
        <v>68</v>
      </c>
    </row>
    <row r="6" spans="1:3" x14ac:dyDescent="0.35">
      <c r="A6" s="26" t="s">
        <v>70</v>
      </c>
      <c r="B6" s="30">
        <v>20000</v>
      </c>
      <c r="C6" s="27" t="s">
        <v>68</v>
      </c>
    </row>
    <row r="7" spans="1:3" x14ac:dyDescent="0.35">
      <c r="A7" s="26" t="s">
        <v>71</v>
      </c>
      <c r="B7" s="30">
        <v>10000</v>
      </c>
      <c r="C7" s="27" t="s">
        <v>72</v>
      </c>
    </row>
    <row r="8" spans="1:3" x14ac:dyDescent="0.35">
      <c r="A8" s="26" t="s">
        <v>73</v>
      </c>
      <c r="B8" s="27">
        <v>500</v>
      </c>
      <c r="C8" s="27" t="s">
        <v>74</v>
      </c>
    </row>
    <row r="9" spans="1:3" x14ac:dyDescent="0.35">
      <c r="A9" s="26" t="s">
        <v>110</v>
      </c>
      <c r="B9" s="30">
        <v>350</v>
      </c>
      <c r="C9" s="27" t="s">
        <v>111</v>
      </c>
    </row>
    <row r="10" spans="1:3" x14ac:dyDescent="0.35">
      <c r="A10" s="26" t="s">
        <v>112</v>
      </c>
      <c r="B10" s="31">
        <v>0.08</v>
      </c>
      <c r="C10" s="27" t="s">
        <v>113</v>
      </c>
    </row>
    <row r="11" spans="1:3" x14ac:dyDescent="0.35">
      <c r="A11" s="26" t="s">
        <v>114</v>
      </c>
      <c r="B11" s="32">
        <v>-1.3</v>
      </c>
      <c r="C11" s="27" t="s">
        <v>115</v>
      </c>
    </row>
    <row r="12" spans="1:3" x14ac:dyDescent="0.35">
      <c r="A12" s="26" t="s">
        <v>116</v>
      </c>
      <c r="B12" s="31">
        <v>0.82</v>
      </c>
      <c r="C12" s="27" t="s">
        <v>113</v>
      </c>
    </row>
    <row r="13" spans="1:3" x14ac:dyDescent="0.35">
      <c r="A13" s="26" t="s">
        <v>117</v>
      </c>
      <c r="B13" s="30">
        <v>2500</v>
      </c>
      <c r="C13" s="27" t="s">
        <v>118</v>
      </c>
    </row>
    <row r="14" spans="1:3" x14ac:dyDescent="0.35">
      <c r="A14" s="26" t="s">
        <v>119</v>
      </c>
      <c r="B14" s="31">
        <v>0.5</v>
      </c>
      <c r="C14" s="27" t="s">
        <v>113</v>
      </c>
    </row>
    <row r="15" spans="1:3" x14ac:dyDescent="0.35">
      <c r="A15" s="26" t="s">
        <v>120</v>
      </c>
      <c r="B15" s="31">
        <v>0.15</v>
      </c>
      <c r="C15" s="27" t="s">
        <v>113</v>
      </c>
    </row>
    <row r="16" spans="1:3" x14ac:dyDescent="0.35">
      <c r="A16" s="26" t="s">
        <v>121</v>
      </c>
      <c r="B16" s="31">
        <v>0.4</v>
      </c>
      <c r="C16" s="27" t="s">
        <v>113</v>
      </c>
    </row>
    <row r="17" spans="1:3" x14ac:dyDescent="0.35">
      <c r="A17" s="26" t="s">
        <v>122</v>
      </c>
      <c r="B17" s="30">
        <v>1500</v>
      </c>
      <c r="C17" s="27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969B-32D7-45EE-BD42-4B3AE81844FF}">
  <dimension ref="A1:Q21"/>
  <sheetViews>
    <sheetView workbookViewId="0">
      <pane ySplit="1" topLeftCell="A2" activePane="bottomLeft" state="frozen"/>
      <selection activeCell="I1" sqref="I1"/>
      <selection pane="bottomLeft" activeCell="E16" sqref="E16"/>
    </sheetView>
  </sheetViews>
  <sheetFormatPr defaultColWidth="13.36328125" defaultRowHeight="14.5" x14ac:dyDescent="0.35"/>
  <cols>
    <col min="11" max="11" width="20.7265625" customWidth="1"/>
    <col min="12" max="12" width="19.81640625" customWidth="1"/>
    <col min="13" max="13" width="19.36328125" customWidth="1"/>
    <col min="14" max="14" width="14.7265625" customWidth="1"/>
    <col min="15" max="15" width="17.26953125" customWidth="1"/>
    <col min="16" max="16" width="16.90625" customWidth="1"/>
    <col min="17" max="17" width="20.1796875" style="10" customWidth="1"/>
  </cols>
  <sheetData>
    <row r="1" spans="1:17" s="13" customFormat="1" x14ac:dyDescent="0.35">
      <c r="A1" s="13" t="s">
        <v>0</v>
      </c>
      <c r="B1" s="13" t="s">
        <v>82</v>
      </c>
      <c r="C1" s="13" t="s">
        <v>83</v>
      </c>
      <c r="D1" s="13" t="s">
        <v>84</v>
      </c>
      <c r="E1" s="13" t="s">
        <v>86</v>
      </c>
      <c r="F1" s="13" t="s">
        <v>87</v>
      </c>
      <c r="G1" s="13" t="s">
        <v>88</v>
      </c>
      <c r="H1" s="13" t="s">
        <v>89</v>
      </c>
      <c r="I1" s="13" t="s">
        <v>90</v>
      </c>
      <c r="J1" s="13" t="s">
        <v>91</v>
      </c>
      <c r="K1" s="13" t="s">
        <v>105</v>
      </c>
      <c r="L1" s="13" t="s">
        <v>106</v>
      </c>
      <c r="M1" s="13" t="s">
        <v>107</v>
      </c>
      <c r="N1" s="13" t="s">
        <v>92</v>
      </c>
      <c r="O1" s="13" t="s">
        <v>93</v>
      </c>
      <c r="P1" s="13" t="s">
        <v>94</v>
      </c>
      <c r="Q1" s="13" t="s">
        <v>108</v>
      </c>
    </row>
    <row r="2" spans="1:17" x14ac:dyDescent="0.35">
      <c r="A2" t="str">
        <f>Data!A2</f>
        <v>R01</v>
      </c>
      <c r="B2" s="40">
        <f>Data!S2</f>
        <v>47781.732599999988</v>
      </c>
      <c r="C2" s="40">
        <f>Data!N2-(Data!P2+Data!I2*Assumptions!$B$3*Assumptions!$B$2*1.1+Assumptions!$B$4+Assumptions!$B$5+Assumptions!$B$6)</f>
        <v>41567.905859999999</v>
      </c>
      <c r="D2" s="40">
        <f>Data!N2-(Data!P2+Data!I2*Assumptions!$B$3*Assumptions!$B$2*1.2+Assumptions!$B$4+Assumptions!$B$5+Assumptions!$B$6)</f>
        <v>35354.079120000009</v>
      </c>
      <c r="E2" s="9">
        <f>Data!R2/Data!M2</f>
        <v>4.1213723181818187</v>
      </c>
      <c r="F2" s="9">
        <f>(Data!P2+Data!I2*Assumptions!$B$3*Assumptions!$B$2*1.1+Assumptions!$B$4+Assumptions!$B$5+Assumptions!$B$6)/Data!M2</f>
        <v>4.3231199396103897</v>
      </c>
      <c r="G2" s="9">
        <f>(Data!P2+Data!I2*Assumptions!$B$3*Assumptions!$B$2*1.2+Assumptions!$B$4+Assumptions!$B$5+Assumptions!$B$6)/Data!M2</f>
        <v>4.5248675610389606</v>
      </c>
      <c r="H2" s="9">
        <f>Data!N2/Data!M2</f>
        <v>5.6727272727272728</v>
      </c>
      <c r="I2" s="9">
        <f>Data!N2/Data!M2</f>
        <v>5.6727272727272728</v>
      </c>
      <c r="J2" s="9">
        <f>Data!N2/Data!M2</f>
        <v>5.6727272727272728</v>
      </c>
      <c r="K2" s="9">
        <f>(B2/Data!N2)*100</f>
        <v>27.347603365384611</v>
      </c>
      <c r="L2" s="9">
        <f>(C2/Data!N2)*100</f>
        <v>23.791154910714283</v>
      </c>
      <c r="M2" s="9">
        <f>(D2/Data!N2)*100</f>
        <v>20.234706456043959</v>
      </c>
      <c r="N2">
        <f>MAX(0,-B2*Data!K2/12)</f>
        <v>0</v>
      </c>
      <c r="O2">
        <f>MAX(0,-C2*Data!K2/12)</f>
        <v>0</v>
      </c>
      <c r="P2">
        <f>MAX(0,-D2*Data!K2/12)</f>
        <v>0</v>
      </c>
      <c r="Q2" s="10" t="str">
        <f>IF(D2&lt;0,"Loss-Making","Profitable")</f>
        <v>Profitable</v>
      </c>
    </row>
    <row r="3" spans="1:17" x14ac:dyDescent="0.35">
      <c r="A3" t="str">
        <f>Data!A3</f>
        <v>R02</v>
      </c>
      <c r="B3" s="40">
        <f>Data!S3</f>
        <v>35358.232350000006</v>
      </c>
      <c r="C3" s="40">
        <f>Data!N3-(Data!P3+Data!I3*Assumptions!$B$3*Assumptions!$B$2*1.1+Assumptions!$B$4+Assumptions!$B$5+Assumptions!$B$6)</f>
        <v>27026.055584999995</v>
      </c>
      <c r="D3" s="40">
        <f>Data!N3-(Data!P3+Data!I3*Assumptions!$B$3*Assumptions!$B$2*1.2+Assumptions!$B$4+Assumptions!$B$5+Assumptions!$B$6)</f>
        <v>18693.878820000013</v>
      </c>
      <c r="E3" s="9">
        <f>Data!R3/Data!M3</f>
        <v>3.6591227033898304</v>
      </c>
      <c r="F3" s="9">
        <f>(Data!P3+Data!I3*Assumptions!$B$3*Assumptions!$B$2*1.1+Assumptions!$B$4+Assumptions!$B$5+Assumptions!$B$6)/Data!M3</f>
        <v>3.8608703248184022</v>
      </c>
      <c r="G3" s="9">
        <f>(Data!P3+Data!I3*Assumptions!$B$3*Assumptions!$B$2*1.2+Assumptions!$B$4+Assumptions!$B$5+Assumptions!$B$6)/Data!M3</f>
        <v>4.0626179462469727</v>
      </c>
      <c r="H3" s="9">
        <f>Data!N3/Data!M3</f>
        <v>4.5152542372881355</v>
      </c>
      <c r="I3" s="9">
        <f>Data!N3/Data!M3</f>
        <v>4.5152542372881355</v>
      </c>
      <c r="J3" s="9">
        <f>Data!N3/Data!M3</f>
        <v>4.5152542372881355</v>
      </c>
      <c r="K3" s="9">
        <f>(B3/Data!N3)*100</f>
        <v>18.960871058558563</v>
      </c>
      <c r="L3" s="9">
        <f>(C3/Data!N3)*100</f>
        <v>14.492736800193049</v>
      </c>
      <c r="M3" s="9">
        <f>(D3/Data!N3)*100</f>
        <v>10.024602541827548</v>
      </c>
      <c r="N3">
        <f>MAX(0,-B3*Data!K3/12)</f>
        <v>0</v>
      </c>
      <c r="O3">
        <f>MAX(0,-C3*Data!K3/12)</f>
        <v>0</v>
      </c>
      <c r="P3">
        <f>MAX(0,-D3*Data!K3/12)</f>
        <v>0</v>
      </c>
      <c r="Q3" s="10" t="str">
        <f t="shared" ref="Q3:Q21" si="0">IF(D3&lt;0,"Loss-Making","Profitable")</f>
        <v>Profitable</v>
      </c>
    </row>
    <row r="4" spans="1:17" x14ac:dyDescent="0.35">
      <c r="A4" t="str">
        <f>Data!A4</f>
        <v>R03</v>
      </c>
      <c r="B4" s="40">
        <f>Data!S4</f>
        <v>13484.349025000003</v>
      </c>
      <c r="C4" s="40">
        <f>Data!N4-(Data!P4+Data!I4*Assumptions!$B$3*Assumptions!$B$2*1.1+Assumptions!$B$4+Assumptions!$B$5+Assumptions!$B$6)</f>
        <v>5222.7839275000151</v>
      </c>
      <c r="D4" s="40">
        <f>Data!N4-(Data!P4+Data!I4*Assumptions!$B$3*Assumptions!$B$2*1.2+Assumptions!$B$4+Assumptions!$B$5+Assumptions!$B$6)</f>
        <v>-3038.7811699999729</v>
      </c>
      <c r="E4" s="9">
        <f>Data!R4/Data!M4</f>
        <v>3.6707118675213675</v>
      </c>
      <c r="F4" s="9">
        <f>(Data!P4+Data!I4*Assumptions!$B$3*Assumptions!$B$2*1.1+Assumptions!$B$4+Assumptions!$B$5+Assumptions!$B$6)/Data!M4</f>
        <v>3.8724594889499384</v>
      </c>
      <c r="G4" s="9">
        <f>(Data!P4+Data!I4*Assumptions!$B$3*Assumptions!$B$2*1.2+Assumptions!$B$4+Assumptions!$B$5+Assumptions!$B$6)/Data!M4</f>
        <v>4.0742071103785094</v>
      </c>
      <c r="H4" s="9">
        <f>Data!N4/Data!M4</f>
        <v>4</v>
      </c>
      <c r="I4" s="9">
        <f>Data!N4/Data!M4</f>
        <v>4</v>
      </c>
      <c r="J4" s="9">
        <f>Data!N4/Data!M4</f>
        <v>4</v>
      </c>
      <c r="K4" s="9">
        <f>(B4/Data!N4)*100</f>
        <v>8.2322033119658133</v>
      </c>
      <c r="L4" s="9">
        <f>(C4/Data!N4)*100</f>
        <v>3.1885127762515357</v>
      </c>
      <c r="M4" s="9">
        <f>(D4/Data!N4)*100</f>
        <v>-1.855177759462743</v>
      </c>
      <c r="N4">
        <f>MAX(0,-B4*Data!K4/12)</f>
        <v>0</v>
      </c>
      <c r="O4">
        <f>MAX(0,-C4*Data!K4/12)</f>
        <v>0</v>
      </c>
      <c r="P4">
        <f>MAX(0,-D4*Data!K4/12)</f>
        <v>92176.36215666584</v>
      </c>
      <c r="Q4" s="10" t="str">
        <f t="shared" si="0"/>
        <v>Loss-Making</v>
      </c>
    </row>
    <row r="5" spans="1:17" x14ac:dyDescent="0.35">
      <c r="A5" t="str">
        <f>Data!A5</f>
        <v>R04</v>
      </c>
      <c r="B5" s="40">
        <f>Data!S5</f>
        <v>32501.249374999999</v>
      </c>
      <c r="C5" s="40">
        <f>Data!N5-(Data!P5+Data!I5*Assumptions!$B$3*Assumptions!$B$2*1.1+Assumptions!$B$4+Assumptions!$B$5+Assumptions!$B$6)</f>
        <v>27205.374312500004</v>
      </c>
      <c r="D5" s="40">
        <f>Data!N5-(Data!P5+Data!I5*Assumptions!$B$3*Assumptions!$B$2*1.2+Assumptions!$B$4+Assumptions!$B$5+Assumptions!$B$6)</f>
        <v>21909.499249999993</v>
      </c>
      <c r="E5" s="9">
        <f>Data!R5/Data!M5</f>
        <v>4.4365238333333332</v>
      </c>
      <c r="F5" s="9">
        <f>(Data!P5+Data!I5*Assumptions!$B$3*Assumptions!$B$2*1.1+Assumptions!$B$4+Assumptions!$B$5+Assumptions!$B$6)/Data!M5</f>
        <v>4.6382714547619051</v>
      </c>
      <c r="G5" s="9">
        <f>(Data!P5+Data!I5*Assumptions!$B$3*Assumptions!$B$2*1.2+Assumptions!$B$4+Assumptions!$B$5+Assumptions!$B$6)/Data!M5</f>
        <v>4.840019076190476</v>
      </c>
      <c r="H5" s="9">
        <f>Data!N5/Data!M5</f>
        <v>5.674666666666667</v>
      </c>
      <c r="I5" s="9">
        <f>Data!N5/Data!M5</f>
        <v>5.674666666666667</v>
      </c>
      <c r="J5" s="9">
        <f>Data!N5/Data!M5</f>
        <v>5.674666666666667</v>
      </c>
      <c r="K5" s="29">
        <f>(B5/Data!N5)</f>
        <v>0.21818776433270676</v>
      </c>
      <c r="L5" s="29">
        <f>(C5/Data!N5)</f>
        <v>0.18263543442870572</v>
      </c>
      <c r="M5" s="29">
        <f>(D5/Data!N5)</f>
        <v>0.14708310452470458</v>
      </c>
      <c r="N5">
        <f>MAX(0,-B5*Data!K5/12)</f>
        <v>0</v>
      </c>
      <c r="O5">
        <f>MAX(0,-C5*Data!K5/12)</f>
        <v>0</v>
      </c>
      <c r="P5">
        <f>MAX(0,-D5*Data!K5/12)</f>
        <v>0</v>
      </c>
      <c r="Q5" s="10" t="str">
        <f t="shared" si="0"/>
        <v>Profitable</v>
      </c>
    </row>
    <row r="6" spans="1:17" x14ac:dyDescent="0.35">
      <c r="A6" t="str">
        <f>Data!A6</f>
        <v>R05</v>
      </c>
      <c r="B6" s="40">
        <f>Data!S6</f>
        <v>33580.665999999997</v>
      </c>
      <c r="C6" s="40">
        <f>Data!N6-(Data!P6+Data!I6*Assumptions!$B$3*Assumptions!$B$2*1.1+Assumptions!$B$4+Assumptions!$B$5+Assumptions!$B$6)</f>
        <v>27931.732599999988</v>
      </c>
      <c r="D6" s="40">
        <f>Data!N6-(Data!P6+Data!I6*Assumptions!$B$3*Assumptions!$B$2*1.2+Assumptions!$B$4+Assumptions!$B$5+Assumptions!$B$6)</f>
        <v>22282.799200000009</v>
      </c>
      <c r="E6" s="9">
        <f>Data!R6/Data!M6</f>
        <v>4.3031905000000004</v>
      </c>
      <c r="F6" s="9">
        <f>(Data!P6+Data!I6*Assumptions!$B$3*Assumptions!$B$2*1.1+Assumptions!$B$4+Assumptions!$B$5+Assumptions!$B$6)/Data!M6</f>
        <v>4.5049381214285722</v>
      </c>
      <c r="G6" s="9">
        <f>(Data!P6+Data!I6*Assumptions!$B$3*Assumptions!$B$2*1.2+Assumptions!$B$4+Assumptions!$B$5+Assumptions!$B$6)/Data!M6</f>
        <v>4.7066857428571423</v>
      </c>
      <c r="H6" s="9">
        <f>Data!N6/Data!M6</f>
        <v>5.5025000000000004</v>
      </c>
      <c r="I6" s="9">
        <f>Data!N6/Data!M6</f>
        <v>5.5025000000000004</v>
      </c>
      <c r="J6" s="9">
        <f>Data!N6/Data!M6</f>
        <v>5.5025000000000004</v>
      </c>
      <c r="K6" s="29">
        <f>(B6/Data!N6)</f>
        <v>0.21795720127214901</v>
      </c>
      <c r="L6" s="29">
        <f>(C6/Data!N6)</f>
        <v>0.18129248133965073</v>
      </c>
      <c r="M6" s="29">
        <f>(D6/Data!N6)</f>
        <v>0.14462776140715264</v>
      </c>
      <c r="N6">
        <f>MAX(0,-B6*Data!K6/12)</f>
        <v>0</v>
      </c>
      <c r="O6">
        <f>MAX(0,-C6*Data!K6/12)</f>
        <v>0</v>
      </c>
      <c r="P6">
        <f>MAX(0,-D6*Data!K6/12)</f>
        <v>0</v>
      </c>
      <c r="Q6" s="10" t="str">
        <f t="shared" si="0"/>
        <v>Profitable</v>
      </c>
    </row>
    <row r="7" spans="1:17" x14ac:dyDescent="0.35">
      <c r="A7" t="str">
        <f>Data!A7</f>
        <v>R06</v>
      </c>
      <c r="B7" s="40">
        <f>Data!S7</f>
        <v>21132.598899999983</v>
      </c>
      <c r="C7" s="40">
        <f>Data!N7-(Data!P7+Data!I7*Assumptions!$B$3*Assumptions!$B$2*1.1+Assumptions!$B$4+Assumptions!$B$5+Assumptions!$B$6)</f>
        <v>11811.858789999969</v>
      </c>
      <c r="D7" s="40">
        <f>Data!N7-(Data!P7+Data!I7*Assumptions!$B$3*Assumptions!$B$2*1.2+Assumptions!$B$4+Assumptions!$B$5+Assumptions!$B$6)</f>
        <v>2491.118679999985</v>
      </c>
      <c r="E7" s="9">
        <f>Data!R7/Data!M7</f>
        <v>3.5153117121212123</v>
      </c>
      <c r="F7" s="9">
        <f>(Data!P7+Data!I7*Assumptions!$B$3*Assumptions!$B$2*1.1+Assumptions!$B$4+Assumptions!$B$5+Assumptions!$B$6)/Data!M7</f>
        <v>3.7170593335497841</v>
      </c>
      <c r="G7" s="9">
        <f>(Data!P7+Data!I7*Assumptions!$B$3*Assumptions!$B$2*1.2+Assumptions!$B$4+Assumptions!$B$5+Assumptions!$B$6)/Data!M7</f>
        <v>3.9188069549783555</v>
      </c>
      <c r="H7" s="9">
        <f>Data!N7/Data!M7</f>
        <v>3.9727272727272727</v>
      </c>
      <c r="I7" s="9">
        <f>Data!N7/Data!M7</f>
        <v>3.9727272727272727</v>
      </c>
      <c r="J7" s="9">
        <f>Data!N7/Data!M7</f>
        <v>3.9727272727272727</v>
      </c>
      <c r="K7" s="29">
        <f>(B7/Data!N7)</f>
        <v>0.11513892829900829</v>
      </c>
      <c r="L7" s="29">
        <f>(C7/Data!N7)</f>
        <v>6.4355774163669874E-2</v>
      </c>
      <c r="M7" s="29">
        <f>(D7/Data!N7)</f>
        <v>1.3572620028331617E-2</v>
      </c>
      <c r="N7">
        <f>MAX(0,-B7*Data!K7/12)</f>
        <v>0</v>
      </c>
      <c r="O7">
        <f>MAX(0,-C7*Data!K7/12)</f>
        <v>0</v>
      </c>
      <c r="P7">
        <f>MAX(0,-D7*Data!K7/12)</f>
        <v>0</v>
      </c>
      <c r="Q7" s="10" t="str">
        <f t="shared" si="0"/>
        <v>Profitable</v>
      </c>
    </row>
    <row r="8" spans="1:17" x14ac:dyDescent="0.35">
      <c r="A8" t="str">
        <f>Data!A8</f>
        <v>R07</v>
      </c>
      <c r="B8" s="40">
        <f>Data!S8</f>
        <v>13423.665500000003</v>
      </c>
      <c r="C8" s="40">
        <f>Data!N8-(Data!P8+Data!I8*Assumptions!$B$3*Assumptions!$B$2*1.1+Assumptions!$B$4+Assumptions!$B$5+Assumptions!$B$6)</f>
        <v>3538.0320499999798</v>
      </c>
      <c r="D8" s="40">
        <f>Data!N8-(Data!P8+Data!I8*Assumptions!$B$3*Assumptions!$B$2*1.2+Assumptions!$B$4+Assumptions!$B$5+Assumptions!$B$6)</f>
        <v>-6347.601399999985</v>
      </c>
      <c r="E8" s="9">
        <f>Data!R8/Data!M8</f>
        <v>3.4460476428571427</v>
      </c>
      <c r="F8" s="9">
        <f>(Data!P8+Data!I8*Assumptions!$B$3*Assumptions!$B$2*1.1+Assumptions!$B$4+Assumptions!$B$5+Assumptions!$B$6)/Data!M8</f>
        <v>3.6477952642857145</v>
      </c>
      <c r="G8" s="9">
        <f>(Data!P8+Data!I8*Assumptions!$B$3*Assumptions!$B$2*1.2+Assumptions!$B$4+Assumptions!$B$5+Assumptions!$B$6)/Data!M8</f>
        <v>3.8495428857142855</v>
      </c>
      <c r="H8" s="9">
        <f>Data!N8/Data!M8</f>
        <v>3.72</v>
      </c>
      <c r="I8" s="9">
        <f>Data!N8/Data!M8</f>
        <v>3.72</v>
      </c>
      <c r="J8" s="9">
        <f>Data!N8/Data!M8</f>
        <v>3.72</v>
      </c>
      <c r="K8" s="29">
        <f>(B8/Data!N8)</f>
        <v>7.364310675883258E-2</v>
      </c>
      <c r="L8" s="29">
        <f>(C8/Data!N8)</f>
        <v>1.9409875192012177E-2</v>
      </c>
      <c r="M8" s="29">
        <f>(D8/Data!N8)</f>
        <v>-3.4823356374807907E-2</v>
      </c>
      <c r="N8">
        <f>MAX(0,-B8*Data!K8/12)</f>
        <v>0</v>
      </c>
      <c r="O8">
        <f>MAX(0,-C8*Data!K8/12)</f>
        <v>0</v>
      </c>
      <c r="P8">
        <f>MAX(0,-D8*Data!K8/12)</f>
        <v>137531.36366666635</v>
      </c>
      <c r="Q8" s="10" t="str">
        <f t="shared" si="0"/>
        <v>Loss-Making</v>
      </c>
    </row>
    <row r="9" spans="1:17" x14ac:dyDescent="0.35">
      <c r="A9" t="str">
        <f>Data!A9</f>
        <v>R08</v>
      </c>
      <c r="B9" s="40">
        <f>Data!S9</f>
        <v>23656.299449999991</v>
      </c>
      <c r="C9" s="40">
        <f>Data!N9-(Data!P9+Data!I9*Assumptions!$B$3*Assumptions!$B$2*1.1+Assumptions!$B$4+Assumptions!$B$5+Assumptions!$B$6)</f>
        <v>18995.929394999985</v>
      </c>
      <c r="D9" s="40">
        <f>Data!N9-(Data!P9+Data!I9*Assumptions!$B$3*Assumptions!$B$2*1.2+Assumptions!$B$4+Assumptions!$B$5+Assumptions!$B$6)</f>
        <v>14335.559339999993</v>
      </c>
      <c r="E9" s="9">
        <f>Data!R9/Data!M9</f>
        <v>4.7274329242424242</v>
      </c>
      <c r="F9" s="9">
        <f>(Data!P9+Data!I9*Assumptions!$B$3*Assumptions!$B$2*1.1+Assumptions!$B$4+Assumptions!$B$5+Assumptions!$B$6)/Data!M9</f>
        <v>4.9291805456709961</v>
      </c>
      <c r="G9" s="9">
        <f>(Data!P9+Data!I9*Assumptions!$B$3*Assumptions!$B$2*1.2+Assumptions!$B$4+Assumptions!$B$5+Assumptions!$B$6)/Data!M9</f>
        <v>5.130928167099567</v>
      </c>
      <c r="H9" s="9">
        <f>Data!N9/Data!M9</f>
        <v>5.7515151515151519</v>
      </c>
      <c r="I9" s="9">
        <f>Data!N9/Data!M9</f>
        <v>5.7515151515151519</v>
      </c>
      <c r="J9" s="9">
        <f>Data!N9/Data!M9</f>
        <v>5.7515151515151519</v>
      </c>
      <c r="K9" s="29">
        <f>(B9/Data!N9)</f>
        <v>0.17805433877766064</v>
      </c>
      <c r="L9" s="29">
        <f>(C9/Data!N9)</f>
        <v>0.14297703895077513</v>
      </c>
      <c r="M9" s="29">
        <f>(D9/Data!N9)</f>
        <v>0.10789973912388975</v>
      </c>
      <c r="N9">
        <f>MAX(0,-B9*Data!K9/12)</f>
        <v>0</v>
      </c>
      <c r="O9">
        <f>MAX(0,-C9*Data!K9/12)</f>
        <v>0</v>
      </c>
      <c r="P9">
        <f>MAX(0,-D9*Data!K9/12)</f>
        <v>0</v>
      </c>
      <c r="Q9" s="10" t="str">
        <f t="shared" si="0"/>
        <v>Profitable</v>
      </c>
    </row>
    <row r="10" spans="1:17" x14ac:dyDescent="0.35">
      <c r="A10" t="str">
        <f>Data!A10</f>
        <v>R09</v>
      </c>
      <c r="B10" s="40">
        <f>Data!S10</f>
        <v>9658.5328000000009</v>
      </c>
      <c r="C10" s="40">
        <f>Data!N10-(Data!P10+Data!I10*Assumptions!$B$3*Assumptions!$B$2*1.1+Assumptions!$B$4+Assumptions!$B$5+Assumptions!$B$6)</f>
        <v>5139.3860800000111</v>
      </c>
      <c r="D10" s="40">
        <f>Data!N10-(Data!P10+Data!I10*Assumptions!$B$3*Assumptions!$B$2*1.2+Assumptions!$B$4+Assumptions!$B$5+Assumptions!$B$6)</f>
        <v>620.23936000000685</v>
      </c>
      <c r="E10" s="9">
        <f>Data!R10/Data!M10</f>
        <v>4.8031905000000004</v>
      </c>
      <c r="F10" s="9">
        <f>(Data!P10+Data!I10*Assumptions!$B$3*Assumptions!$B$2*1.1+Assumptions!$B$4+Assumptions!$B$5+Assumptions!$B$6)/Data!M10</f>
        <v>5.0049381214285713</v>
      </c>
      <c r="G10" s="9">
        <f>(Data!P10+Data!I10*Assumptions!$B$3*Assumptions!$B$2*1.2+Assumptions!$B$4+Assumptions!$B$5+Assumptions!$B$6)/Data!M10</f>
        <v>5.2066857428571431</v>
      </c>
      <c r="H10" s="9">
        <f>Data!N10/Data!M10</f>
        <v>5.2343750000000009</v>
      </c>
      <c r="I10" s="9">
        <f>Data!N10/Data!M10</f>
        <v>5.2343750000000009</v>
      </c>
      <c r="J10" s="9">
        <f>Data!N10/Data!M10</f>
        <v>5.2343750000000009</v>
      </c>
      <c r="K10" s="29">
        <f>(B10/Data!N10)</f>
        <v>8.2375546268656716E-2</v>
      </c>
      <c r="L10" s="29">
        <f>(C10/Data!N10)</f>
        <v>4.383271710021331E-2</v>
      </c>
      <c r="M10" s="29">
        <f>(D10/Data!N10)</f>
        <v>5.2898879317697803E-3</v>
      </c>
      <c r="N10">
        <f>MAX(0,-B10*Data!K10/12)</f>
        <v>0</v>
      </c>
      <c r="O10">
        <f>MAX(0,-C10*Data!K10/12)</f>
        <v>0</v>
      </c>
      <c r="P10">
        <f>MAX(0,-D10*Data!K10/12)</f>
        <v>0</v>
      </c>
      <c r="Q10" s="10" t="str">
        <f t="shared" si="0"/>
        <v>Profitable</v>
      </c>
    </row>
    <row r="11" spans="1:17" x14ac:dyDescent="0.35">
      <c r="A11" t="str">
        <f>Data!A11</f>
        <v>R10</v>
      </c>
      <c r="B11" s="40">
        <f>Data!S11</f>
        <v>16837.265899999999</v>
      </c>
      <c r="C11" s="40">
        <f>Data!N11-(Data!P11+Data!I11*Assumptions!$B$3*Assumptions!$B$2*1.1+Assumptions!$B$4+Assumptions!$B$5+Assumptions!$B$6)</f>
        <v>10340.992489999975</v>
      </c>
      <c r="D11" s="40">
        <f>Data!N11-(Data!P11+Data!I11*Assumptions!$B$3*Assumptions!$B$2*1.2+Assumptions!$B$4+Assumptions!$B$5+Assumptions!$B$6)</f>
        <v>3844.7190800000099</v>
      </c>
      <c r="E11" s="9">
        <f>Data!R11/Data!M11</f>
        <v>4.0423209347826088</v>
      </c>
      <c r="F11" s="9">
        <f>(Data!P11+Data!I11*Assumptions!$B$3*Assumptions!$B$2*1.1+Assumptions!$B$4+Assumptions!$B$5+Assumptions!$B$6)/Data!M11</f>
        <v>4.2440685562111806</v>
      </c>
      <c r="G11" s="9">
        <f>(Data!P11+Data!I11*Assumptions!$B$3*Assumptions!$B$2*1.2+Assumptions!$B$4+Assumptions!$B$5+Assumptions!$B$6)/Data!M11</f>
        <v>4.4458161776397516</v>
      </c>
      <c r="H11" s="9">
        <f>Data!N11/Data!M11</f>
        <v>4.5652173913043477</v>
      </c>
      <c r="I11" s="9">
        <f>Data!N11/Data!M11</f>
        <v>4.5652173913043477</v>
      </c>
      <c r="J11" s="9">
        <f>Data!N11/Data!M11</f>
        <v>4.5652173913043477</v>
      </c>
      <c r="K11" s="29">
        <f>(B11/Data!N11)</f>
        <v>0.1145392238095238</v>
      </c>
      <c r="L11" s="29">
        <f>(C11/Data!N11)</f>
        <v>7.0346887687074658E-2</v>
      </c>
      <c r="M11" s="29">
        <f>(D11/Data!N11)</f>
        <v>2.6154551564625917E-2</v>
      </c>
      <c r="N11">
        <f>MAX(0,-B11*Data!K11/12)</f>
        <v>0</v>
      </c>
      <c r="O11">
        <f>MAX(0,-C11*Data!K11/12)</f>
        <v>0</v>
      </c>
      <c r="P11">
        <f>MAX(0,-D11*Data!K11/12)</f>
        <v>0</v>
      </c>
      <c r="Q11" s="10" t="str">
        <f t="shared" si="0"/>
        <v>Profitable</v>
      </c>
    </row>
    <row r="12" spans="1:17" x14ac:dyDescent="0.35">
      <c r="A12" t="str">
        <f>Data!A12</f>
        <v>R11</v>
      </c>
      <c r="B12" s="40">
        <f>Data!S12</f>
        <v>25862.799200000009</v>
      </c>
      <c r="C12" s="40">
        <f>Data!N12-(Data!P12+Data!I12*Assumptions!$B$3*Assumptions!$B$2*1.1+Assumptions!$B$4+Assumptions!$B$5+Assumptions!$B$6)</f>
        <v>19084.079120000009</v>
      </c>
      <c r="D12" s="40">
        <f>Data!N12-(Data!P12+Data!I12*Assumptions!$B$3*Assumptions!$B$2*1.2+Assumptions!$B$4+Assumptions!$B$5+Assumptions!$B$6)</f>
        <v>12305.35904000001</v>
      </c>
      <c r="E12" s="9">
        <f>Data!R12/Data!M12</f>
        <v>3.9698571666666664</v>
      </c>
      <c r="F12" s="9">
        <f>(Data!P12+Data!I12*Assumptions!$B$3*Assumptions!$B$2*1.1+Assumptions!$B$4+Assumptions!$B$5+Assumptions!$B$6)/Data!M12</f>
        <v>4.1716047880952374</v>
      </c>
      <c r="G12" s="9">
        <f>(Data!P12+Data!I12*Assumptions!$B$3*Assumptions!$B$2*1.2+Assumptions!$B$4+Assumptions!$B$5+Assumptions!$B$6)/Data!M12</f>
        <v>4.3733524095238092</v>
      </c>
      <c r="H12" s="9">
        <f>Data!N12/Data!M12</f>
        <v>4.739583333333333</v>
      </c>
      <c r="I12" s="9">
        <f>Data!N12/Data!M12</f>
        <v>4.739583333333333</v>
      </c>
      <c r="J12" s="9">
        <f>Data!N12/Data!M12</f>
        <v>4.739583333333333</v>
      </c>
      <c r="K12" s="29">
        <f>(B12/Data!N12)</f>
        <v>0.1624037626373627</v>
      </c>
      <c r="L12" s="29">
        <f>(C12/Data!N12)</f>
        <v>0.11983723152276302</v>
      </c>
      <c r="M12" s="29">
        <f>(D12/Data!N12)</f>
        <v>7.7270700408163334E-2</v>
      </c>
      <c r="N12">
        <f>MAX(0,-B12*Data!K12/12)</f>
        <v>0</v>
      </c>
      <c r="O12">
        <f>MAX(0,-C12*Data!K12/12)</f>
        <v>0</v>
      </c>
      <c r="P12">
        <f>MAX(0,-D12*Data!K12/12)</f>
        <v>0</v>
      </c>
      <c r="Q12" s="10" t="str">
        <f t="shared" si="0"/>
        <v>Profitable</v>
      </c>
    </row>
    <row r="13" spans="1:17" x14ac:dyDescent="0.35">
      <c r="A13" t="str">
        <f>Data!A13</f>
        <v>R12</v>
      </c>
      <c r="B13" s="40">
        <f>Data!S13</f>
        <v>23692.799200000009</v>
      </c>
      <c r="C13" s="40">
        <f>Data!N13-(Data!P13+Data!I13*Assumptions!$B$3*Assumptions!$B$2*1.1+Assumptions!$B$4+Assumptions!$B$5+Assumptions!$B$6)</f>
        <v>16914.079120000009</v>
      </c>
      <c r="D13" s="40">
        <f>Data!N13-(Data!P13+Data!I13*Assumptions!$B$3*Assumptions!$B$2*1.2+Assumptions!$B$4+Assumptions!$B$5+Assumptions!$B$6)</f>
        <v>10135.35904000001</v>
      </c>
      <c r="E13" s="9">
        <f>Data!R13/Data!M13</f>
        <v>3.9698571666666664</v>
      </c>
      <c r="F13" s="9">
        <f>(Data!P13+Data!I13*Assumptions!$B$3*Assumptions!$B$2*1.1+Assumptions!$B$4+Assumptions!$B$5+Assumptions!$B$6)/Data!M13</f>
        <v>4.1716047880952374</v>
      </c>
      <c r="G13" s="9">
        <f>(Data!P13+Data!I13*Assumptions!$B$3*Assumptions!$B$2*1.2+Assumptions!$B$4+Assumptions!$B$5+Assumptions!$B$6)/Data!M13</f>
        <v>4.3733524095238092</v>
      </c>
      <c r="H13" s="9">
        <f>Data!N13/Data!M13</f>
        <v>4.6749999999999998</v>
      </c>
      <c r="I13" s="9">
        <f>Data!N13/Data!M13</f>
        <v>4.6749999999999998</v>
      </c>
      <c r="J13" s="9">
        <f>Data!N13/Data!M13</f>
        <v>4.6749999999999998</v>
      </c>
      <c r="K13" s="29">
        <f>(B13/Data!N13)</f>
        <v>0.15083269162210344</v>
      </c>
      <c r="L13" s="29">
        <f>(C13/Data!N13)</f>
        <v>0.10767812019353201</v>
      </c>
      <c r="M13" s="29">
        <f>(D13/Data!N13)</f>
        <v>6.4523548764960595E-2</v>
      </c>
      <c r="N13">
        <f>MAX(0,-B13*Data!K13/12)</f>
        <v>0</v>
      </c>
      <c r="O13">
        <f>MAX(0,-C13*Data!K13/12)</f>
        <v>0</v>
      </c>
      <c r="P13">
        <f>MAX(0,-D13*Data!K13/12)</f>
        <v>0</v>
      </c>
      <c r="Q13" s="10" t="str">
        <f t="shared" si="0"/>
        <v>Profitable</v>
      </c>
    </row>
    <row r="14" spans="1:17" x14ac:dyDescent="0.35">
      <c r="A14" t="str">
        <f>Data!A14</f>
        <v>R13</v>
      </c>
      <c r="B14" s="40">
        <f>Data!S14</f>
        <v>18815.132699999987</v>
      </c>
      <c r="C14" s="40">
        <f>Data!N14-(Data!P14+Data!I14*Assumptions!$B$3*Assumptions!$B$2*1.1+Assumptions!$B$4+Assumptions!$B$5+Assumptions!$B$6)</f>
        <v>13448.645969999983</v>
      </c>
      <c r="D14" s="40">
        <f>Data!N14-(Data!P14+Data!I14*Assumptions!$B$3*Assumptions!$B$2*1.2+Assumptions!$B$4+Assumptions!$B$5+Assumptions!$B$6)</f>
        <v>8082.1592399999936</v>
      </c>
      <c r="E14" s="9">
        <f>Data!R14/Data!M14</f>
        <v>4.4084536578947375</v>
      </c>
      <c r="F14" s="9">
        <f>(Data!P14+Data!I14*Assumptions!$B$3*Assumptions!$B$2*1.1+Assumptions!$B$4+Assumptions!$B$5+Assumptions!$B$6)/Data!M14</f>
        <v>4.6102012793233085</v>
      </c>
      <c r="G14" s="9">
        <f>(Data!P14+Data!I14*Assumptions!$B$3*Assumptions!$B$2*1.2+Assumptions!$B$4+Assumptions!$B$5+Assumptions!$B$6)/Data!M14</f>
        <v>4.8119489007518803</v>
      </c>
      <c r="H14" s="9">
        <f>Data!N14/Data!M14</f>
        <v>5.1157894736842104</v>
      </c>
      <c r="I14" s="9">
        <f>Data!N14/Data!M14</f>
        <v>5.1157894736842104</v>
      </c>
      <c r="J14" s="9">
        <f>Data!N14/Data!M14</f>
        <v>5.1157894736842104</v>
      </c>
      <c r="K14" s="29">
        <f>(B14/Data!N14)</f>
        <v>0.1382652314814814</v>
      </c>
      <c r="L14" s="29">
        <f>(C14/Data!N14)</f>
        <v>9.8828968033509573E-2</v>
      </c>
      <c r="M14" s="29">
        <f>(D14/Data!N14)</f>
        <v>5.9392704585537873E-2</v>
      </c>
      <c r="N14">
        <f>MAX(0,-B14*Data!K14/12)</f>
        <v>0</v>
      </c>
      <c r="O14">
        <f>MAX(0,-C14*Data!K14/12)</f>
        <v>0</v>
      </c>
      <c r="P14">
        <f>MAX(0,-D14*Data!K14/12)</f>
        <v>0</v>
      </c>
      <c r="Q14" s="10" t="str">
        <f t="shared" si="0"/>
        <v>Profitable</v>
      </c>
    </row>
    <row r="15" spans="1:17" x14ac:dyDescent="0.35">
      <c r="A15" t="str">
        <f>Data!A15</f>
        <v>R14</v>
      </c>
      <c r="B15" s="40">
        <f>Data!S15</f>
        <v>21632.999500000005</v>
      </c>
      <c r="C15" s="40">
        <f>Data!N15-(Data!P15+Data!I15*Assumptions!$B$3*Assumptions!$B$2*1.1+Assumptions!$B$4+Assumptions!$B$5+Assumptions!$B$6)</f>
        <v>17396.299449999991</v>
      </c>
      <c r="D15" s="40">
        <f>Data!N15-(Data!P15+Data!I15*Assumptions!$B$3*Assumptions!$B$2*1.2+Assumptions!$B$4+Assumptions!$B$5+Assumptions!$B$6)</f>
        <v>13159.599400000006</v>
      </c>
      <c r="E15" s="9">
        <f>Data!R15/Data!M15</f>
        <v>4.9698571666666664</v>
      </c>
      <c r="F15" s="9">
        <f>(Data!P15+Data!I15*Assumptions!$B$3*Assumptions!$B$2*1.1+Assumptions!$B$4+Assumptions!$B$5+Assumptions!$B$6)/Data!M15</f>
        <v>5.1716047880952383</v>
      </c>
      <c r="G15" s="9">
        <f>(Data!P15+Data!I15*Assumptions!$B$3*Assumptions!$B$2*1.2+Assumptions!$B$4+Assumptions!$B$5+Assumptions!$B$6)/Data!M15</f>
        <v>5.3733524095238092</v>
      </c>
      <c r="H15" s="9">
        <f>Data!N15/Data!M15</f>
        <v>6</v>
      </c>
      <c r="I15" s="9">
        <f>Data!N15/Data!M15</f>
        <v>6</v>
      </c>
      <c r="J15" s="9">
        <f>Data!N15/Data!M15</f>
        <v>6</v>
      </c>
      <c r="K15" s="29">
        <f>(B15/Data!N15)</f>
        <v>0.17169047222222225</v>
      </c>
      <c r="L15" s="29">
        <f>(C15/Data!N15)</f>
        <v>0.13806586865079359</v>
      </c>
      <c r="M15" s="29">
        <f>(D15/Data!N15)</f>
        <v>0.10444126507936513</v>
      </c>
      <c r="N15">
        <f>MAX(0,-B15*Data!K15/12)</f>
        <v>0</v>
      </c>
      <c r="O15">
        <f>MAX(0,-C15*Data!K15/12)</f>
        <v>0</v>
      </c>
      <c r="P15">
        <f>MAX(0,-D15*Data!K15/12)</f>
        <v>0</v>
      </c>
      <c r="Q15" s="10" t="str">
        <f t="shared" si="0"/>
        <v>Profitable</v>
      </c>
    </row>
    <row r="16" spans="1:17" x14ac:dyDescent="0.35">
      <c r="A16" t="str">
        <f>Data!A16</f>
        <v>R15</v>
      </c>
      <c r="B16" s="40">
        <f>Data!S16</f>
        <v>8870.666000000012</v>
      </c>
      <c r="C16" s="40">
        <f>Data!N16-(Data!P16+Data!I16*Assumptions!$B$3*Assumptions!$B$2*1.1+Assumptions!$B$4+Assumptions!$B$5+Assumptions!$B$6)</f>
        <v>3221.732600000003</v>
      </c>
      <c r="D16" s="40">
        <f>Data!N16-(Data!P16+Data!I16*Assumptions!$B$3*Assumptions!$B$2*1.2+Assumptions!$B$4+Assumptions!$B$5+Assumptions!$B$6)</f>
        <v>-2427.2007999999769</v>
      </c>
      <c r="E16" s="9">
        <f>Data!R16/Data!M16</f>
        <v>4.3031905000000004</v>
      </c>
      <c r="F16" s="9">
        <f>(Data!P16+Data!I16*Assumptions!$B$3*Assumptions!$B$2*1.1+Assumptions!$B$4+Assumptions!$B$5+Assumptions!$B$6)/Data!M16</f>
        <v>4.5049381214285722</v>
      </c>
      <c r="G16" s="9">
        <f>(Data!P16+Data!I16*Assumptions!$B$3*Assumptions!$B$2*1.2+Assumptions!$B$4+Assumptions!$B$5+Assumptions!$B$6)/Data!M16</f>
        <v>4.7066857428571423</v>
      </c>
      <c r="H16" s="9">
        <f>Data!N16/Data!M16</f>
        <v>4.62</v>
      </c>
      <c r="I16" s="9">
        <f>Data!N16/Data!M16</f>
        <v>4.62</v>
      </c>
      <c r="J16" s="9">
        <f>Data!N16/Data!M16</f>
        <v>4.62</v>
      </c>
      <c r="K16" s="29">
        <f>(B16/Data!N16)</f>
        <v>6.8573484848484939E-2</v>
      </c>
      <c r="L16" s="29">
        <f>(C16/Data!N16)</f>
        <v>2.4905168521954256E-2</v>
      </c>
      <c r="M16" s="29">
        <f>(D16/Data!N16)</f>
        <v>-1.8763147804576195E-2</v>
      </c>
      <c r="N16">
        <f>MAX(0,-B16*Data!K16/12)</f>
        <v>0</v>
      </c>
      <c r="O16">
        <f>MAX(0,-C16*Data!K16/12)</f>
        <v>0</v>
      </c>
      <c r="P16">
        <f>MAX(0,-D16*Data!K16/12)</f>
        <v>73625.090933332627</v>
      </c>
      <c r="Q16" s="10" t="str">
        <f t="shared" si="0"/>
        <v>Loss-Making</v>
      </c>
    </row>
    <row r="17" spans="1:17" x14ac:dyDescent="0.35">
      <c r="A17" t="str">
        <f>Data!A17</f>
        <v>R16</v>
      </c>
      <c r="B17" s="40">
        <f>Data!S17</f>
        <v>12772.799199999979</v>
      </c>
      <c r="C17" s="40">
        <f>Data!N17-(Data!P17+Data!I17*Assumptions!$B$3*Assumptions!$B$2*1.1+Assumptions!$B$4+Assumptions!$B$5+Assumptions!$B$6)</f>
        <v>5994.0791199999803</v>
      </c>
      <c r="D17" s="40">
        <f>Data!N17-(Data!P17+Data!I17*Assumptions!$B$3*Assumptions!$B$2*1.2+Assumptions!$B$4+Assumptions!$B$5+Assumptions!$B$6)</f>
        <v>-784.64096000001882</v>
      </c>
      <c r="E17" s="9">
        <f>Data!R17/Data!M17</f>
        <v>3.9698571666666664</v>
      </c>
      <c r="F17" s="9">
        <f>(Data!P17+Data!I17*Assumptions!$B$3*Assumptions!$B$2*1.1+Assumptions!$B$4+Assumptions!$B$5+Assumptions!$B$6)/Data!M17</f>
        <v>4.1716047880952374</v>
      </c>
      <c r="G17" s="9">
        <f>(Data!P17+Data!I17*Assumptions!$B$3*Assumptions!$B$2*1.2+Assumptions!$B$4+Assumptions!$B$5+Assumptions!$B$6)/Data!M17</f>
        <v>4.3733524095238092</v>
      </c>
      <c r="H17" s="9">
        <f>Data!N17/Data!M17</f>
        <v>4.3499999999999988</v>
      </c>
      <c r="I17" s="9">
        <f>Data!N17/Data!M17</f>
        <v>4.3499999999999988</v>
      </c>
      <c r="J17" s="9">
        <f>Data!N17/Data!M17</f>
        <v>4.3499999999999988</v>
      </c>
      <c r="K17" s="29">
        <f>(B17/Data!N17)</f>
        <v>8.7389157088122477E-2</v>
      </c>
      <c r="L17" s="29">
        <f>(C17/Data!N17)</f>
        <v>4.101039354132445E-2</v>
      </c>
      <c r="M17" s="29">
        <f>(D17/Data!N17)</f>
        <v>-5.3683700054735833E-3</v>
      </c>
      <c r="N17">
        <f>MAX(0,-B17*Data!K17/12)</f>
        <v>0</v>
      </c>
      <c r="O17">
        <f>MAX(0,-C17*Data!K17/12)</f>
        <v>0</v>
      </c>
      <c r="P17">
        <f>MAX(0,-D17*Data!K17/12)</f>
        <v>10200.332480000245</v>
      </c>
      <c r="Q17" s="10" t="str">
        <f t="shared" si="0"/>
        <v>Loss-Making</v>
      </c>
    </row>
    <row r="18" spans="1:17" x14ac:dyDescent="0.35">
      <c r="A18" t="str">
        <f>Data!A18</f>
        <v>R17</v>
      </c>
      <c r="B18" s="40">
        <f>Data!S18</f>
        <v>17491.832750000016</v>
      </c>
      <c r="C18" s="40">
        <f>Data!N18-(Data!P18+Data!I18*Assumptions!$B$3*Assumptions!$B$2*1.1+Assumptions!$B$4+Assumptions!$B$5+Assumptions!$B$6)</f>
        <v>12549.016025000004</v>
      </c>
      <c r="D18" s="40">
        <f>Data!N18-(Data!P18+Data!I18*Assumptions!$B$3*Assumptions!$B$2*1.2+Assumptions!$B$4+Assumptions!$B$5+Assumptions!$B$6)</f>
        <v>7606.199300000022</v>
      </c>
      <c r="E18" s="9">
        <f>Data!R18/Data!M18</f>
        <v>4.5889047857142859</v>
      </c>
      <c r="F18" s="9">
        <f>(Data!P18+Data!I18*Assumptions!$B$3*Assumptions!$B$2*1.1+Assumptions!$B$4+Assumptions!$B$5+Assumptions!$B$6)/Data!M18</f>
        <v>4.7906524071428578</v>
      </c>
      <c r="G18" s="9">
        <f>(Data!P18+Data!I18*Assumptions!$B$3*Assumptions!$B$2*1.2+Assumptions!$B$4+Assumptions!$B$5+Assumptions!$B$6)/Data!M18</f>
        <v>4.9924000285714278</v>
      </c>
      <c r="H18" s="9">
        <f>Data!N18/Data!M18</f>
        <v>5.3028571428571434</v>
      </c>
      <c r="I18" s="9">
        <f>Data!N18/Data!M18</f>
        <v>5.3028571428571434</v>
      </c>
      <c r="J18" s="9">
        <f>Data!N18/Data!M18</f>
        <v>5.3028571428571434</v>
      </c>
      <c r="K18" s="29">
        <f>(B18/Data!N18)</f>
        <v>0.13463541217672426</v>
      </c>
      <c r="L18" s="29">
        <f>(C18/Data!N18)</f>
        <v>9.6590332704741405E-2</v>
      </c>
      <c r="M18" s="29">
        <f>(D18/Data!N18)</f>
        <v>5.8545253232758783E-2</v>
      </c>
      <c r="N18">
        <f>MAX(0,-B18*Data!K18/12)</f>
        <v>0</v>
      </c>
      <c r="O18">
        <f>MAX(0,-C18*Data!K18/12)</f>
        <v>0</v>
      </c>
      <c r="P18">
        <f>MAX(0,-D18*Data!K18/12)</f>
        <v>0</v>
      </c>
      <c r="Q18" s="10" t="str">
        <f t="shared" si="0"/>
        <v>Profitable</v>
      </c>
    </row>
    <row r="19" spans="1:17" x14ac:dyDescent="0.35">
      <c r="A19" t="str">
        <f>Data!A19</f>
        <v>R18</v>
      </c>
      <c r="B19" s="40">
        <f>Data!S19</f>
        <v>17437.466199999995</v>
      </c>
      <c r="C19" s="40">
        <f>Data!N19-(Data!P19+Data!I19*Assumptions!$B$3*Assumptions!$B$2*1.1+Assumptions!$B$4+Assumptions!$B$5+Assumptions!$B$6)</f>
        <v>13483.212819999986</v>
      </c>
      <c r="D19" s="40">
        <f>Data!N19-(Data!P19+Data!I19*Assumptions!$B$3*Assumptions!$B$2*1.2+Assumptions!$B$4+Assumptions!$B$5+Assumptions!$B$6)</f>
        <v>9528.959440000006</v>
      </c>
      <c r="E19" s="9">
        <f>Data!R19/Data!M19</f>
        <v>5.1603333571428571</v>
      </c>
      <c r="F19" s="9">
        <f>(Data!P19+Data!I19*Assumptions!$B$3*Assumptions!$B$2*1.1+Assumptions!$B$4+Assumptions!$B$5+Assumptions!$B$6)/Data!M19</f>
        <v>5.362080978571429</v>
      </c>
      <c r="G19" s="9">
        <f>(Data!P19+Data!I19*Assumptions!$B$3*Assumptions!$B$2*1.2+Assumptions!$B$4+Assumptions!$B$5+Assumptions!$B$6)/Data!M19</f>
        <v>5.5638285999999999</v>
      </c>
      <c r="H19" s="9">
        <f>Data!N19/Data!M19</f>
        <v>6.05</v>
      </c>
      <c r="I19" s="9">
        <f>Data!N19/Data!M19</f>
        <v>6.05</v>
      </c>
      <c r="J19" s="9">
        <f>Data!N19/Data!M19</f>
        <v>6.05</v>
      </c>
      <c r="K19" s="29">
        <f>(B19/Data!N19)</f>
        <v>0.14705233766233763</v>
      </c>
      <c r="L19" s="29">
        <f>(C19/Data!N19)</f>
        <v>0.11370562337662327</v>
      </c>
      <c r="M19" s="29">
        <f>(D19/Data!N19)</f>
        <v>8.0358909090909147E-2</v>
      </c>
      <c r="N19">
        <f>MAX(0,-B19*Data!K19/12)</f>
        <v>0</v>
      </c>
      <c r="O19">
        <f>MAX(0,-C19*Data!K19/12)</f>
        <v>0</v>
      </c>
      <c r="P19">
        <f>MAX(0,-D19*Data!K19/12)</f>
        <v>0</v>
      </c>
      <c r="Q19" s="10" t="str">
        <f t="shared" si="0"/>
        <v>Profitable</v>
      </c>
    </row>
    <row r="20" spans="1:17" x14ac:dyDescent="0.35">
      <c r="A20" t="str">
        <f>Data!A20</f>
        <v>R19</v>
      </c>
      <c r="B20" s="40">
        <f>Data!S20</f>
        <v>-1799.1337000000203</v>
      </c>
      <c r="C20" s="40">
        <f>Data!N20-(Data!P20+Data!I20*Assumptions!$B$3*Assumptions!$B$2*1.1+Assumptions!$B$4+Assumptions!$B$5+Assumptions!$B$6)</f>
        <v>-4906.0470700000151</v>
      </c>
      <c r="D20" s="40">
        <f>Data!N20-(Data!P20+Data!I20*Assumptions!$B$3*Assumptions!$B$2*1.2+Assumptions!$B$4+Assumptions!$B$5+Assumptions!$B$6)</f>
        <v>-8012.9604400000098</v>
      </c>
      <c r="E20" s="9">
        <f>Data!R20/Data!M20</f>
        <v>5.939554136363637</v>
      </c>
      <c r="F20" s="9">
        <f>(Data!P20+Data!I20*Assumptions!$B$3*Assumptions!$B$2*1.1+Assumptions!$B$4+Assumptions!$B$5+Assumptions!$B$6)/Data!M20</f>
        <v>6.141301757792208</v>
      </c>
      <c r="G20" s="9">
        <f>(Data!P20+Data!I20*Assumptions!$B$3*Assumptions!$B$2*1.2+Assumptions!$B$4+Assumptions!$B$5+Assumptions!$B$6)/Data!M20</f>
        <v>6.3430493792207789</v>
      </c>
      <c r="H20" s="9">
        <f>Data!N20/Data!M20</f>
        <v>5.8227272727272714</v>
      </c>
      <c r="I20" s="9">
        <f>Data!N20/Data!M20</f>
        <v>5.8227272727272714</v>
      </c>
      <c r="J20" s="9">
        <f>Data!N20/Data!M20</f>
        <v>5.8227272727272714</v>
      </c>
      <c r="K20" s="29">
        <f>(B20/Data!N20)</f>
        <v>-2.0063942232630989E-2</v>
      </c>
      <c r="L20" s="29">
        <f>(C20/Data!N20)</f>
        <v>-5.4712245678599489E-2</v>
      </c>
      <c r="M20" s="29">
        <f>(D20/Data!N20)</f>
        <v>-8.9360549124567978E-2</v>
      </c>
      <c r="N20">
        <f>MAX(0,-B20*Data!K20/12)</f>
        <v>54573.722233333952</v>
      </c>
      <c r="O20">
        <f>MAX(0,-C20*Data!K20/12)</f>
        <v>148816.7611233338</v>
      </c>
      <c r="P20">
        <f>MAX(0,-D20*Data!K20/12)</f>
        <v>243059.80001333365</v>
      </c>
      <c r="Q20" s="10" t="str">
        <f t="shared" si="0"/>
        <v>Loss-Making</v>
      </c>
    </row>
    <row r="21" spans="1:17" x14ac:dyDescent="0.35">
      <c r="A21" t="str">
        <f>Data!A21</f>
        <v>R20</v>
      </c>
      <c r="B21" s="40">
        <f>Data!S21</f>
        <v>23274.266400000008</v>
      </c>
      <c r="C21" s="40">
        <f>Data!N21-(Data!P21+Data!I21*Assumptions!$B$3*Assumptions!$B$2*1.1+Assumptions!$B$4+Assumptions!$B$5+Assumptions!$B$6)</f>
        <v>21014.693040000013</v>
      </c>
      <c r="D21" s="40">
        <f>Data!N21-(Data!P21+Data!I21*Assumptions!$B$3*Assumptions!$B$2*1.2+Assumptions!$B$4+Assumptions!$B$5+Assumptions!$B$6)</f>
        <v>18755.119680000018</v>
      </c>
      <c r="E21" s="9">
        <f>Data!R21/Data!M21</f>
        <v>7.3031905000000004</v>
      </c>
      <c r="F21" s="9">
        <f>(Data!P21+Data!I21*Assumptions!$B$3*Assumptions!$B$2*1.1+Assumptions!$B$4+Assumptions!$B$5+Assumptions!$B$6)/Data!M21</f>
        <v>7.5049381214285713</v>
      </c>
      <c r="G21" s="9">
        <f>(Data!P21+Data!I21*Assumptions!$B$3*Assumptions!$B$2*1.2+Assumptions!$B$4+Assumptions!$B$5+Assumptions!$B$6)/Data!M21</f>
        <v>7.7066857428571423</v>
      </c>
      <c r="H21" s="9">
        <f>Data!N21/Data!M21</f>
        <v>9.3812500000000014</v>
      </c>
      <c r="I21" s="9">
        <f>Data!N21/Data!M21</f>
        <v>9.3812500000000014</v>
      </c>
      <c r="J21" s="9">
        <f>Data!N21/Data!M21</f>
        <v>9.3812500000000014</v>
      </c>
      <c r="K21" s="29">
        <f>(B21/Data!N21)</f>
        <v>0.22151200532978019</v>
      </c>
      <c r="L21" s="29">
        <f>(C21/Data!N21)</f>
        <v>0.20000659598363005</v>
      </c>
      <c r="M21" s="29">
        <f>(D21/Data!N21)</f>
        <v>0.17850118663747991</v>
      </c>
      <c r="N21">
        <f>MAX(0,-B21*Data!K21/12)</f>
        <v>0</v>
      </c>
      <c r="O21">
        <f>MAX(0,-C21*Data!K21/12)</f>
        <v>0</v>
      </c>
      <c r="P21">
        <f>MAX(0,-D21*Data!K21/12)</f>
        <v>0</v>
      </c>
      <c r="Q21" s="10" t="str">
        <f t="shared" si="0"/>
        <v>Profitable</v>
      </c>
    </row>
  </sheetData>
  <conditionalFormatting sqref="Q2:Q21">
    <cfRule type="containsText" dxfId="2" priority="1" operator="containsText" text="P">
      <formula>NOT(ISERROR(SEARCH("P",Q2)))</formula>
    </cfRule>
    <cfRule type="containsText" dxfId="1" priority="2" operator="containsText" text="Loss">
      <formula>NOT(ISERROR(SEARCH("Loss",Q2)))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E710-9925-4CDF-83F3-17C995B3D979}">
  <dimension ref="A1:D77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22.54296875" style="3" customWidth="1"/>
    <col min="2" max="2" width="18.81640625" customWidth="1"/>
    <col min="3" max="3" width="22" customWidth="1"/>
    <col min="4" max="4" width="24.08984375" customWidth="1"/>
  </cols>
  <sheetData>
    <row r="1" spans="1:4" s="8" customFormat="1" x14ac:dyDescent="0.35">
      <c r="A1" s="12" t="s">
        <v>95</v>
      </c>
      <c r="B1" s="12" t="s">
        <v>82</v>
      </c>
      <c r="C1" s="12" t="s">
        <v>100</v>
      </c>
      <c r="D1" s="12" t="s">
        <v>101</v>
      </c>
    </row>
    <row r="2" spans="1:4" x14ac:dyDescent="0.35">
      <c r="A2" s="3" t="s">
        <v>96</v>
      </c>
      <c r="B2" s="11">
        <f>SUMPRODUCT(Data!N2:N21,Data!K2:K21)</f>
        <v>1222876200</v>
      </c>
      <c r="C2" s="11">
        <f>SUMPRODUCT(Data!N2:N21,Data!K2:K21)</f>
        <v>1222876200</v>
      </c>
      <c r="D2" s="11">
        <f>SUMPRODUCT(Data!N2:N21,Data!K2:K21)</f>
        <v>1222876200</v>
      </c>
    </row>
    <row r="3" spans="1:4" x14ac:dyDescent="0.35">
      <c r="A3" s="3" t="s">
        <v>97</v>
      </c>
      <c r="B3" s="11">
        <f>SUMPRODUCT(Data!R2:R21,Data!K2:K21)</f>
        <v>1028625521.4234999</v>
      </c>
      <c r="C3" s="11">
        <f>SUMPRODUCT(Data!P2:P21,Data!K2:K21)
+SUMPRODUCT(Data!I2:I21,Data!K2:K21)*Assumptions!$B$3*Assumptions!$B$2*1.1
+SUM(Data!K2:K21)*(Assumptions!$B$4+Assumptions!$B$5+Assumptions!$B$6)</f>
        <v>1077405473.5658503</v>
      </c>
      <c r="D3" s="11">
        <f>SUMPRODUCT(Data!P2:P21,Data!K2:K21)
+SUMPRODUCT(Data!I2:I21,Data!K2:K21)*Assumptions!$B$3*Assumptions!$B$2*1.2
+SUM(Data!K2:K21)*(Assumptions!$B$4+Assumptions!$B$5+Assumptions!$B$6)</f>
        <v>1126185425.7082</v>
      </c>
    </row>
    <row r="4" spans="1:4" x14ac:dyDescent="0.35">
      <c r="A4" s="15" t="s">
        <v>98</v>
      </c>
      <c r="B4" s="16">
        <f>B2-B3</f>
        <v>194250678.57650006</v>
      </c>
      <c r="C4" s="16">
        <f>C2-C3</f>
        <v>145470726.43414974</v>
      </c>
      <c r="D4" s="16">
        <f>D2-D3</f>
        <v>96690774.291800022</v>
      </c>
    </row>
    <row r="5" spans="1:4" x14ac:dyDescent="0.35">
      <c r="A5" s="3" t="s">
        <v>81</v>
      </c>
      <c r="B5" s="17">
        <f>B4/B2</f>
        <v>0.15884737848074895</v>
      </c>
      <c r="C5" s="17">
        <f>C4/C2</f>
        <v>0.1189578523436385</v>
      </c>
      <c r="D5" s="17">
        <f>D4/D2</f>
        <v>7.9068326206528525E-2</v>
      </c>
    </row>
    <row r="6" spans="1:4" x14ac:dyDescent="0.35">
      <c r="A6" s="15" t="s">
        <v>102</v>
      </c>
      <c r="B6" s="16">
        <f>SUMPRODUCT(Data!M2:M21,Data!K2:K21)</f>
        <v>241787000</v>
      </c>
      <c r="C6" s="16">
        <f>B6</f>
        <v>241787000</v>
      </c>
      <c r="D6" s="16">
        <f>B6</f>
        <v>241787000</v>
      </c>
    </row>
    <row r="7" spans="1:4" x14ac:dyDescent="0.35">
      <c r="A7" s="3" t="s">
        <v>85</v>
      </c>
      <c r="B7" s="11">
        <f>B3/B6</f>
        <v>4.2542631383138874</v>
      </c>
      <c r="C7" s="11">
        <f>C3/C6</f>
        <v>4.4560107597424601</v>
      </c>
      <c r="D7" s="11">
        <f>D3/D6</f>
        <v>4.657758381171031</v>
      </c>
    </row>
    <row r="8" spans="1:4" x14ac:dyDescent="0.35">
      <c r="A8" s="3" t="s">
        <v>99</v>
      </c>
      <c r="B8" s="11">
        <f>B2/B6</f>
        <v>5.0576590139254796</v>
      </c>
      <c r="C8" s="11">
        <f>C2/C6</f>
        <v>5.0576590139254796</v>
      </c>
      <c r="D8" s="11">
        <f>D2/D6</f>
        <v>5.0576590139254796</v>
      </c>
    </row>
    <row r="9" spans="1:4" x14ac:dyDescent="0.35">
      <c r="A9" s="3" t="s">
        <v>103</v>
      </c>
      <c r="B9" s="11">
        <f>MAX(0,-B4/12)</f>
        <v>0</v>
      </c>
      <c r="C9" s="11">
        <f>MAX(0,-C4/12)</f>
        <v>0</v>
      </c>
      <c r="D9" s="11">
        <f>MAX(0,-D4/12)</f>
        <v>0</v>
      </c>
    </row>
    <row r="10" spans="1:4" x14ac:dyDescent="0.35">
      <c r="A10" s="15" t="s">
        <v>104</v>
      </c>
      <c r="B10" s="16">
        <f>COUNTIF('Scenario Analysis'!B2:B21,"&lt;0")</f>
        <v>1</v>
      </c>
      <c r="C10" s="16">
        <f>COUNTIF('Scenario Analysis'!C2:C21,"&lt;0")</f>
        <v>1</v>
      </c>
      <c r="D10" s="16">
        <f>COUNTIF('Scenario Analysis'!D2:D21,"&lt;0")</f>
        <v>5</v>
      </c>
    </row>
    <row r="11" spans="1:4" x14ac:dyDescent="0.35">
      <c r="B11" s="11"/>
      <c r="C11" s="11"/>
      <c r="D11" s="11"/>
    </row>
    <row r="12" spans="1:4" x14ac:dyDescent="0.35">
      <c r="B12" s="11"/>
      <c r="C12" s="11"/>
      <c r="D12" s="11"/>
    </row>
    <row r="13" spans="1:4" x14ac:dyDescent="0.35">
      <c r="B13" s="11"/>
      <c r="C13" s="11"/>
      <c r="D13" s="11"/>
    </row>
    <row r="14" spans="1:4" x14ac:dyDescent="0.35">
      <c r="B14" s="11"/>
      <c r="C14" s="11"/>
      <c r="D14" s="11"/>
    </row>
    <row r="15" spans="1:4" x14ac:dyDescent="0.35">
      <c r="B15" s="11"/>
      <c r="C15" s="11"/>
      <c r="D15" s="11"/>
    </row>
    <row r="16" spans="1:4" x14ac:dyDescent="0.35">
      <c r="B16" s="11"/>
      <c r="C16" s="11"/>
      <c r="D16" s="11"/>
    </row>
    <row r="17" spans="2:4" x14ac:dyDescent="0.35">
      <c r="B17" s="11"/>
      <c r="C17" s="11"/>
      <c r="D17" s="11"/>
    </row>
    <row r="18" spans="2:4" x14ac:dyDescent="0.35">
      <c r="B18" s="11"/>
      <c r="C18" s="11"/>
      <c r="D18" s="11"/>
    </row>
    <row r="19" spans="2:4" x14ac:dyDescent="0.35">
      <c r="B19" s="11"/>
      <c r="C19" s="11"/>
      <c r="D19" s="11"/>
    </row>
    <row r="20" spans="2:4" x14ac:dyDescent="0.35">
      <c r="B20" s="11"/>
      <c r="C20" s="11"/>
      <c r="D20" s="11"/>
    </row>
    <row r="21" spans="2:4" x14ac:dyDescent="0.35">
      <c r="B21" s="11"/>
      <c r="C21" s="11"/>
      <c r="D21" s="11"/>
    </row>
    <row r="22" spans="2:4" x14ac:dyDescent="0.35">
      <c r="B22" s="11"/>
      <c r="C22" s="11"/>
      <c r="D22" s="11"/>
    </row>
    <row r="23" spans="2:4" x14ac:dyDescent="0.35">
      <c r="B23" s="11"/>
      <c r="C23" s="11"/>
      <c r="D23" s="11"/>
    </row>
    <row r="24" spans="2:4" x14ac:dyDescent="0.35">
      <c r="B24" s="11"/>
      <c r="C24" s="11"/>
      <c r="D24" s="11"/>
    </row>
    <row r="25" spans="2:4" x14ac:dyDescent="0.35">
      <c r="B25" s="11"/>
      <c r="C25" s="11"/>
      <c r="D25" s="11"/>
    </row>
    <row r="26" spans="2:4" x14ac:dyDescent="0.35">
      <c r="B26" s="11"/>
      <c r="C26" s="11"/>
      <c r="D26" s="11"/>
    </row>
    <row r="27" spans="2:4" x14ac:dyDescent="0.35">
      <c r="B27" s="11"/>
      <c r="C27" s="11"/>
      <c r="D27" s="11"/>
    </row>
    <row r="28" spans="2:4" x14ac:dyDescent="0.35">
      <c r="B28" s="11"/>
      <c r="C28" s="11"/>
      <c r="D28" s="11"/>
    </row>
    <row r="29" spans="2:4" x14ac:dyDescent="0.35">
      <c r="B29" s="11"/>
      <c r="C29" s="11"/>
      <c r="D29" s="11"/>
    </row>
    <row r="30" spans="2:4" x14ac:dyDescent="0.35">
      <c r="B30" s="11"/>
      <c r="C30" s="11"/>
      <c r="D30" s="11"/>
    </row>
    <row r="31" spans="2:4" x14ac:dyDescent="0.35">
      <c r="B31" s="11"/>
      <c r="C31" s="11"/>
      <c r="D31" s="11"/>
    </row>
    <row r="32" spans="2:4" x14ac:dyDescent="0.35">
      <c r="B32" s="11"/>
      <c r="C32" s="11"/>
      <c r="D32" s="11"/>
    </row>
    <row r="33" spans="2:4" x14ac:dyDescent="0.35">
      <c r="B33" s="11"/>
      <c r="C33" s="11"/>
      <c r="D33" s="11"/>
    </row>
    <row r="34" spans="2:4" x14ac:dyDescent="0.35">
      <c r="B34" s="11"/>
      <c r="C34" s="11"/>
      <c r="D34" s="11"/>
    </row>
    <row r="35" spans="2:4" x14ac:dyDescent="0.35">
      <c r="B35" s="11"/>
      <c r="C35" s="11"/>
      <c r="D35" s="11"/>
    </row>
    <row r="36" spans="2:4" x14ac:dyDescent="0.35">
      <c r="B36" s="11"/>
      <c r="C36" s="11"/>
      <c r="D36" s="11"/>
    </row>
    <row r="37" spans="2:4" x14ac:dyDescent="0.35">
      <c r="B37" s="11"/>
      <c r="C37" s="11"/>
      <c r="D37" s="11"/>
    </row>
    <row r="38" spans="2:4" x14ac:dyDescent="0.35">
      <c r="B38" s="11"/>
      <c r="C38" s="11"/>
      <c r="D38" s="11"/>
    </row>
    <row r="39" spans="2:4" x14ac:dyDescent="0.35">
      <c r="B39" s="11"/>
      <c r="C39" s="11"/>
      <c r="D39" s="11"/>
    </row>
    <row r="40" spans="2:4" x14ac:dyDescent="0.35">
      <c r="B40" s="11"/>
      <c r="C40" s="11"/>
      <c r="D40" s="11"/>
    </row>
    <row r="41" spans="2:4" x14ac:dyDescent="0.35">
      <c r="B41" s="11"/>
      <c r="C41" s="11"/>
      <c r="D41" s="11"/>
    </row>
    <row r="42" spans="2:4" x14ac:dyDescent="0.35">
      <c r="B42" s="11"/>
      <c r="C42" s="11"/>
      <c r="D42" s="11"/>
    </row>
    <row r="43" spans="2:4" x14ac:dyDescent="0.35">
      <c r="B43" s="11"/>
      <c r="C43" s="11"/>
      <c r="D43" s="11"/>
    </row>
    <row r="44" spans="2:4" x14ac:dyDescent="0.35">
      <c r="B44" s="11"/>
      <c r="C44" s="11"/>
      <c r="D44" s="11"/>
    </row>
    <row r="45" spans="2:4" x14ac:dyDescent="0.35">
      <c r="B45" s="11"/>
      <c r="C45" s="11"/>
      <c r="D45" s="11"/>
    </row>
    <row r="46" spans="2:4" x14ac:dyDescent="0.35">
      <c r="B46" s="11"/>
      <c r="C46" s="11"/>
      <c r="D46" s="11"/>
    </row>
    <row r="47" spans="2:4" x14ac:dyDescent="0.35">
      <c r="B47" s="11"/>
      <c r="C47" s="11"/>
      <c r="D47" s="11"/>
    </row>
    <row r="48" spans="2:4" x14ac:dyDescent="0.35">
      <c r="B48" s="11"/>
      <c r="C48" s="11"/>
      <c r="D48" s="11"/>
    </row>
    <row r="49" spans="2:4" x14ac:dyDescent="0.35">
      <c r="B49" s="11"/>
      <c r="C49" s="11"/>
      <c r="D49" s="11"/>
    </row>
    <row r="50" spans="2:4" x14ac:dyDescent="0.35">
      <c r="B50" s="11"/>
      <c r="C50" s="11"/>
      <c r="D50" s="11"/>
    </row>
    <row r="51" spans="2:4" x14ac:dyDescent="0.35">
      <c r="B51" s="11"/>
      <c r="C51" s="11"/>
      <c r="D51" s="11"/>
    </row>
    <row r="52" spans="2:4" x14ac:dyDescent="0.35">
      <c r="B52" s="11"/>
      <c r="C52" s="11"/>
      <c r="D52" s="11"/>
    </row>
    <row r="53" spans="2:4" x14ac:dyDescent="0.35">
      <c r="B53" s="11"/>
      <c r="C53" s="11"/>
      <c r="D53" s="11"/>
    </row>
    <row r="54" spans="2:4" x14ac:dyDescent="0.35">
      <c r="B54" s="11"/>
      <c r="C54" s="11"/>
      <c r="D54" s="11"/>
    </row>
    <row r="55" spans="2:4" x14ac:dyDescent="0.35">
      <c r="B55" s="11"/>
      <c r="C55" s="11"/>
      <c r="D55" s="11"/>
    </row>
    <row r="56" spans="2:4" x14ac:dyDescent="0.35">
      <c r="B56" s="11"/>
      <c r="C56" s="11"/>
      <c r="D56" s="11"/>
    </row>
    <row r="57" spans="2:4" x14ac:dyDescent="0.35">
      <c r="B57" s="11"/>
      <c r="C57" s="11"/>
      <c r="D57" s="11"/>
    </row>
    <row r="58" spans="2:4" x14ac:dyDescent="0.35">
      <c r="B58" s="11"/>
      <c r="C58" s="11"/>
      <c r="D58" s="11"/>
    </row>
    <row r="59" spans="2:4" x14ac:dyDescent="0.35">
      <c r="B59" s="11"/>
      <c r="C59" s="11"/>
      <c r="D59" s="11"/>
    </row>
    <row r="60" spans="2:4" x14ac:dyDescent="0.35">
      <c r="B60" s="11"/>
      <c r="C60" s="11"/>
      <c r="D60" s="11"/>
    </row>
    <row r="61" spans="2:4" x14ac:dyDescent="0.35">
      <c r="B61" s="11"/>
      <c r="C61" s="11"/>
      <c r="D61" s="11"/>
    </row>
    <row r="62" spans="2:4" x14ac:dyDescent="0.35">
      <c r="B62" s="11"/>
      <c r="C62" s="11"/>
      <c r="D62" s="11"/>
    </row>
    <row r="63" spans="2:4" x14ac:dyDescent="0.35">
      <c r="B63" s="11"/>
      <c r="C63" s="11"/>
      <c r="D63" s="11"/>
    </row>
    <row r="64" spans="2:4" x14ac:dyDescent="0.35">
      <c r="B64" s="11"/>
      <c r="C64" s="11"/>
      <c r="D64" s="11"/>
    </row>
    <row r="65" spans="2:4" x14ac:dyDescent="0.35">
      <c r="B65" s="11"/>
      <c r="C65" s="11"/>
      <c r="D65" s="11"/>
    </row>
    <row r="66" spans="2:4" x14ac:dyDescent="0.35">
      <c r="B66" s="11"/>
      <c r="C66" s="11"/>
      <c r="D66" s="11"/>
    </row>
    <row r="67" spans="2:4" x14ac:dyDescent="0.35">
      <c r="B67" s="11"/>
      <c r="C67" s="11"/>
      <c r="D67" s="11"/>
    </row>
    <row r="68" spans="2:4" x14ac:dyDescent="0.35">
      <c r="B68" s="11"/>
      <c r="C68" s="11"/>
      <c r="D68" s="11"/>
    </row>
    <row r="69" spans="2:4" x14ac:dyDescent="0.35">
      <c r="B69" s="11"/>
      <c r="C69" s="11"/>
      <c r="D69" s="11"/>
    </row>
    <row r="70" spans="2:4" x14ac:dyDescent="0.35">
      <c r="B70" s="11"/>
      <c r="C70" s="11"/>
      <c r="D70" s="11"/>
    </row>
    <row r="71" spans="2:4" x14ac:dyDescent="0.35">
      <c r="B71" s="11"/>
      <c r="C71" s="11"/>
      <c r="D71" s="11"/>
    </row>
    <row r="72" spans="2:4" x14ac:dyDescent="0.35">
      <c r="B72" s="11"/>
      <c r="C72" s="11"/>
      <c r="D72" s="11"/>
    </row>
    <row r="73" spans="2:4" x14ac:dyDescent="0.35">
      <c r="B73" s="11"/>
      <c r="C73" s="11"/>
      <c r="D73" s="11"/>
    </row>
    <row r="74" spans="2:4" x14ac:dyDescent="0.35">
      <c r="B74" s="11"/>
      <c r="C74" s="11"/>
      <c r="D74" s="11"/>
    </row>
    <row r="75" spans="2:4" x14ac:dyDescent="0.35">
      <c r="B75" s="11"/>
      <c r="C75" s="11"/>
      <c r="D75" s="11"/>
    </row>
    <row r="76" spans="2:4" x14ac:dyDescent="0.35">
      <c r="B76" s="11"/>
      <c r="C76" s="11"/>
      <c r="D76" s="11"/>
    </row>
    <row r="77" spans="2:4" x14ac:dyDescent="0.35">
      <c r="B77" s="11"/>
      <c r="C77" s="11"/>
      <c r="D7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A4B1-7209-4738-8C81-908E15E0DF19}">
  <dimension ref="A1:F7"/>
  <sheetViews>
    <sheetView workbookViewId="0">
      <pane ySplit="1" topLeftCell="A2" activePane="bottomLeft" state="frozen"/>
      <selection pane="bottomLeft" activeCell="C23" sqref="C23"/>
    </sheetView>
  </sheetViews>
  <sheetFormatPr defaultRowHeight="14.5" x14ac:dyDescent="0.35"/>
  <cols>
    <col min="1" max="1" width="23.90625" style="8" customWidth="1"/>
    <col min="2" max="2" width="9.54296875" customWidth="1"/>
    <col min="3" max="3" width="10.08984375" customWidth="1"/>
    <col min="4" max="4" width="11.6328125" customWidth="1"/>
    <col min="5" max="5" width="10.08984375" customWidth="1"/>
    <col min="6" max="6" width="12.08984375" customWidth="1"/>
  </cols>
  <sheetData>
    <row r="1" spans="1:6" x14ac:dyDescent="0.35">
      <c r="A1" s="22" t="s">
        <v>109</v>
      </c>
      <c r="B1" s="22"/>
      <c r="C1" s="20"/>
    </row>
    <row r="2" spans="1:6" s="21" customFormat="1" x14ac:dyDescent="0.35">
      <c r="A2" s="20"/>
      <c r="B2" s="20"/>
      <c r="C2" s="20"/>
    </row>
    <row r="3" spans="1:6" x14ac:dyDescent="0.35">
      <c r="B3" s="18">
        <v>0</v>
      </c>
      <c r="C3" s="18">
        <v>0.1</v>
      </c>
      <c r="D3" s="18">
        <v>0.2</v>
      </c>
      <c r="E3" s="18">
        <v>0.3</v>
      </c>
      <c r="F3" s="18">
        <v>0.4</v>
      </c>
    </row>
    <row r="4" spans="1:6" x14ac:dyDescent="0.35">
      <c r="A4" s="19">
        <v>0.5</v>
      </c>
      <c r="B4" s="41" cm="1">
        <f t="array" ref="B4">SUMPRODUCT(
(Data!$F$2:$F$21*$A4*Data!$H$2:$H$21-((Data!$I$2:$I$21*Assumptions!$B$3*Assumptions!$B$2*(1+B$3))+Data!$P$2:$P$21+Assumptions!$B$4+Assumptions!$B$5+Assumptions!$B$6))*Data!$K$2:$K$21
)/10000000</f>
        <v>-15.993952142350004</v>
      </c>
      <c r="C4" s="41" cm="1">
        <f t="array" ref="C4">SUMPRODUCT(
(Data!$F$2:$F$21*$A4*Data!$H$2:$H$21-((Data!$I$2:$I$21*Assumptions!$B$3*Assumptions!$B$2*(1+C$3))+Data!$P$2:$P$21+Assumptions!$B$4+Assumptions!$B$5+Assumptions!$B$6))*Data!$K$2:$K$21
)/10000000</f>
        <v>-20.871947356585007</v>
      </c>
      <c r="D4" s="41" cm="1">
        <f t="array" ref="D4">SUMPRODUCT(
(Data!$F$2:$F$21*$A4*Data!$H$2:$H$21-((Data!$I$2:$I$21*Assumptions!$B$3*Assumptions!$B$2*(1+D$3))+Data!$P$2:$P$21+Assumptions!$B$4+Assumptions!$B$5+Assumptions!$B$6))*Data!$K$2:$K$21
)/10000000</f>
        <v>-25.749942570819996</v>
      </c>
      <c r="E4" s="41" cm="1">
        <f t="array" ref="E4">SUMPRODUCT(
(Data!$F$2:$F$21*$A4*Data!$H$2:$H$21-((Data!$I$2:$I$21*Assumptions!$B$3*Assumptions!$B$2*(1+E$3))+Data!$P$2:$P$21+Assumptions!$B$4+Assumptions!$B$5+Assumptions!$B$6))*Data!$K$2:$K$21
)/10000000</f>
        <v>-30.627937785055</v>
      </c>
      <c r="F4" s="41" cm="1">
        <f t="array" ref="F4">SUMPRODUCT(
(Data!$F$2:$F$21*$A4*Data!$H$2:$H$21-((Data!$I$2:$I$21*Assumptions!$B$3*Assumptions!$B$2*(1+F$3))+Data!$P$2:$P$21+Assumptions!$B$4+Assumptions!$B$5+Assumptions!$B$6))*Data!$K$2:$K$21
)/10000000</f>
        <v>-35.505932999290003</v>
      </c>
    </row>
    <row r="5" spans="1:6" x14ac:dyDescent="0.35">
      <c r="A5" s="19">
        <v>0.6</v>
      </c>
      <c r="B5" s="40" cm="1">
        <f t="array" ref="B5">SUMPRODUCT(
(Data!$F$2:$F$21*$A5*Data!$H$2:$H$21-((Data!$I$2:$I$21*Assumptions!$B$3*Assumptions!$B$2*(1+B$3))+Data!$P$2:$P$21+Assumptions!$B$4+Assumptions!$B$5+Assumptions!$B$6))*Data!$K$2:$K$21
)/10000000</f>
        <v>1.379767857649997</v>
      </c>
      <c r="C5" s="41" cm="1">
        <f t="array" ref="C5">SUMPRODUCT(
(Data!$F$2:$F$21*$A5*Data!$H$2:$H$21-((Data!$I$2:$I$21*Assumptions!$B$3*Assumptions!$B$2*(1+C$3))+Data!$P$2:$P$21+Assumptions!$B$4+Assumptions!$B$5+Assumptions!$B$6))*Data!$K$2:$K$21
)/10000000</f>
        <v>-3.4982273565850064</v>
      </c>
      <c r="D5" s="41" cm="1">
        <f t="array" ref="D5">SUMPRODUCT(
(Data!$F$2:$F$21*$A5*Data!$H$2:$H$21-((Data!$I$2:$I$21*Assumptions!$B$3*Assumptions!$B$2*(1+D$3))+Data!$P$2:$P$21+Assumptions!$B$4+Assumptions!$B$5+Assumptions!$B$6))*Data!$K$2:$K$21
)/10000000</f>
        <v>-8.376222570819996</v>
      </c>
      <c r="E5" s="41" cm="1">
        <f t="array" ref="E5">SUMPRODUCT(
(Data!$F$2:$F$21*$A5*Data!$H$2:$H$21-((Data!$I$2:$I$21*Assumptions!$B$3*Assumptions!$B$2*(1+E$3))+Data!$P$2:$P$21+Assumptions!$B$4+Assumptions!$B$5+Assumptions!$B$6))*Data!$K$2:$K$21
)/10000000</f>
        <v>-13.254217785055008</v>
      </c>
      <c r="F5" s="41" cm="1">
        <f t="array" ref="F5">SUMPRODUCT(
(Data!$F$2:$F$21*$A5*Data!$H$2:$H$21-((Data!$I$2:$I$21*Assumptions!$B$3*Assumptions!$B$2*(1+F$3))+Data!$P$2:$P$21+Assumptions!$B$4+Assumptions!$B$5+Assumptions!$B$6))*Data!$K$2:$K$21
)/10000000</f>
        <v>-18.132212999290005</v>
      </c>
    </row>
    <row r="6" spans="1:6" x14ac:dyDescent="0.35">
      <c r="A6" s="19">
        <v>0.7</v>
      </c>
      <c r="B6" s="40" cm="1">
        <f t="array" ref="B6">SUMPRODUCT(
(Data!$F$2:$F$21*$A6*Data!$H$2:$H$21-((Data!$I$2:$I$21*Assumptions!$B$3*Assumptions!$B$2*(1+B$3))+Data!$P$2:$P$21+Assumptions!$B$4+Assumptions!$B$5+Assumptions!$B$6))*Data!$K$2:$K$21
)/10000000</f>
        <v>18.753487857649997</v>
      </c>
      <c r="C6" s="40" cm="1">
        <f t="array" ref="C6">SUMPRODUCT(
(Data!$F$2:$F$21*$A6*Data!$H$2:$H$21-((Data!$I$2:$I$21*Assumptions!$B$3*Assumptions!$B$2*(1+C$3))+Data!$P$2:$P$21+Assumptions!$B$4+Assumptions!$B$5+Assumptions!$B$6))*Data!$K$2:$K$21
)/10000000</f>
        <v>13.875492643414995</v>
      </c>
      <c r="D6" s="40" cm="1">
        <f t="array" ref="D6">SUMPRODUCT(
(Data!$F$2:$F$21*$A6*Data!$H$2:$H$21-((Data!$I$2:$I$21*Assumptions!$B$3*Assumptions!$B$2*(1+D$3))+Data!$P$2:$P$21+Assumptions!$B$4+Assumptions!$B$5+Assumptions!$B$6))*Data!$K$2:$K$21
)/10000000</f>
        <v>8.9974974291800045</v>
      </c>
      <c r="E6" s="40" cm="1">
        <f t="array" ref="E6">SUMPRODUCT(
(Data!$F$2:$F$21*$A6*Data!$H$2:$H$21-((Data!$I$2:$I$21*Assumptions!$B$3*Assumptions!$B$2*(1+E$3))+Data!$P$2:$P$21+Assumptions!$B$4+Assumptions!$B$5+Assumptions!$B$6))*Data!$K$2:$K$21
)/10000000</f>
        <v>4.119502214944994</v>
      </c>
      <c r="F6" s="40" cm="1">
        <f t="array" ref="F6">SUMPRODUCT(
(Data!$F$2:$F$21*$A6*Data!$H$2:$H$21-((Data!$I$2:$I$21*Assumptions!$B$3*Assumptions!$B$2*(1+F$3))+Data!$P$2:$P$21+Assumptions!$B$4+Assumptions!$B$5+Assumptions!$B$6))*Data!$K$2:$K$21
)/10000000</f>
        <v>-0.75849299928999825</v>
      </c>
    </row>
    <row r="7" spans="1:6" x14ac:dyDescent="0.35">
      <c r="A7" s="19">
        <v>0.8</v>
      </c>
      <c r="B7" s="40" cm="1">
        <f t="array" ref="B7">SUMPRODUCT(
(Data!$F$2:$F$21*$A7*Data!$H$2:$H$21-((Data!$I$2:$I$21*Assumptions!$B$3*Assumptions!$B$2*(1+B$3))+Data!$P$2:$P$21+Assumptions!$B$4+Assumptions!$B$5+Assumptions!$B$6))*Data!$K$2:$K$21
)/10000000</f>
        <v>36.127207857649992</v>
      </c>
      <c r="C7" s="40" cm="1">
        <f t="array" ref="C7">SUMPRODUCT(
(Data!$F$2:$F$21*$A7*Data!$H$2:$H$21-((Data!$I$2:$I$21*Assumptions!$B$3*Assumptions!$B$2*(1+C$3))+Data!$P$2:$P$21+Assumptions!$B$4+Assumptions!$B$5+Assumptions!$B$6))*Data!$K$2:$K$21
)/10000000</f>
        <v>31.249212643414982</v>
      </c>
      <c r="D7" s="40" cm="1">
        <f t="array" ref="D7">SUMPRODUCT(
(Data!$F$2:$F$21*$A7*Data!$H$2:$H$21-((Data!$I$2:$I$21*Assumptions!$B$3*Assumptions!$B$2*(1+D$3))+Data!$P$2:$P$21+Assumptions!$B$4+Assumptions!$B$5+Assumptions!$B$6))*Data!$K$2:$K$21
)/10000000</f>
        <v>26.371217429180003</v>
      </c>
      <c r="E7" s="40" cm="1">
        <f t="array" ref="E7">SUMPRODUCT(
(Data!$F$2:$F$21*$A7*Data!$H$2:$H$21-((Data!$I$2:$I$21*Assumptions!$B$3*Assumptions!$B$2*(1+E$3))+Data!$P$2:$P$21+Assumptions!$B$4+Assumptions!$B$5+Assumptions!$B$6))*Data!$K$2:$K$21
)/10000000</f>
        <v>21.493222214944996</v>
      </c>
      <c r="F7" s="40" cm="1">
        <f t="array" ref="F7">SUMPRODUCT(
(Data!$F$2:$F$21*$A7*Data!$H$2:$H$21-((Data!$I$2:$I$21*Assumptions!$B$3*Assumptions!$B$2*(1+F$3))+Data!$P$2:$P$21+Assumptions!$B$4+Assumptions!$B$5+Assumptions!$B$6))*Data!$K$2:$K$21
)/10000000</f>
        <v>16.61522700071</v>
      </c>
    </row>
  </sheetData>
  <conditionalFormatting sqref="B4:F7">
    <cfRule type="cellIs" dxfId="0" priority="1" operator="equal">
      <formula>"("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Comparison</vt:lpstr>
      <vt:lpstr>Assumptions</vt:lpstr>
      <vt:lpstr>Scenario Analysis</vt:lpstr>
      <vt:lpstr>Scenario Summary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Madhuvanthi S</dc:creator>
  <cp:lastModifiedBy>Madhuvanthi S</cp:lastModifiedBy>
  <dcterms:created xsi:type="dcterms:W3CDTF">2026-08-23T08:30:53Z</dcterms:created>
  <dcterms:modified xsi:type="dcterms:W3CDTF">2026-09-08T11:17:34Z</dcterms:modified>
</cp:coreProperties>
</file>